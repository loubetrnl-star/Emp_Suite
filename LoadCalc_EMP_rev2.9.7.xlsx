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yecto" sheetId="1" state="visible" r:id="rId3"/>
    <sheet name="Captura_Zonas" sheetId="2" state="visible" r:id="rId4"/>
    <sheet name="Calculo" sheetId="3" state="visible" r:id="rId5"/>
    <sheet name="Resultados" sheetId="4" state="visible" r:id="rId6"/>
    <sheet name="Referencia" sheetId="5" state="visible" r:id="rId7"/>
  </sheets>
  <definedNames>
    <definedName function="false" hidden="false" localSheetId="2" name="_xlnm.Print_Area" vbProcedure="false">Calculo!$A$1:$N$726</definedName>
    <definedName function="false" hidden="false" localSheetId="2" name="_xlnm.Print_Titles" vbProcedure="false">Calculo!$1:$4</definedName>
    <definedName function="false" hidden="false" localSheetId="1" name="_xlnm.Print_Area" vbProcedure="false">Captura_Zonas!$A$1:$AL$18</definedName>
    <definedName function="false" hidden="false" localSheetId="1" name="_xlnm.Print_Titles" vbProcedure="false">Captura_Zonas!$B:$B,Captura_Zonas!$1:$5</definedName>
    <definedName function="false" hidden="false" localSheetId="0" name="_xlnm.Print_Area" vbProcedure="false">Proyecto!$A$1:$D$57</definedName>
    <definedName function="false" hidden="false" localSheetId="4" name="_xlnm.Print_Area" vbProcedure="false">Referencia!$A$1:$M$183</definedName>
    <definedName function="false" hidden="false" localSheetId="4" name="_xlnm.Print_Titles" vbProcedure="false">Referencia!$1:$4</definedName>
    <definedName function="false" hidden="false" localSheetId="3" name="_xlnm.Print_Area" vbProcedure="false">Resultados!$A$1:$T$74</definedName>
    <definedName function="false" hidden="false" localSheetId="1" name="_xlnm.Print_Titles" vbProcedure="false">Captura_Zonas!$1:$5,Captura_Zonas!$B:$B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7" authorId="0">
      <text>
        <r>
          <rPr>
            <sz val="10"/>
            <rFont val="Arial"/>
            <family val="2"/>
          </rPr>
          <t xml:space="preserve">Tablas SUN_H y DET_PEAK válidas 28–36°N, junio-septiembre, fachada vertical sin sombreado externo. Informativo: no se usa en fórmulas.</t>
        </r>
      </text>
    </comment>
    <comment ref="C38" authorId="0">
      <text>
        <r>
          <rPr>
            <sz val="10"/>
            <rFont val="Arial"/>
            <family val="2"/>
          </rPr>
          <t xml:space="preserve">No todas las zonas pican a la misma hora. 0.85–0.95 con orientaciones/horarios distintos, 1.00 sin crédito.</t>
        </r>
      </text>
    </comment>
    <comment ref="C39" authorId="0">
      <text>
        <r>
          <rPr>
            <sz val="10"/>
            <rFont val="Arial"/>
            <family val="2"/>
          </rPr>
          <t xml:space="preserve">Constante protegida del motor: 5% (MARGEN_HAP). Este libro usa 2% por instrucción expresa del proyecto — editable aquí.</t>
        </r>
      </text>
    </comment>
    <comment ref="C41" authorId="0">
      <text>
        <r>
          <rPr>
            <sz val="10"/>
            <rFont val="Arial"/>
            <family val="2"/>
          </rPr>
          <t xml:space="preserve">Constante histórica HAP.dT del motor. Este libro usa ΔT fijo (no resuelve el punto de rocío del aparato ni el bypass factor): esa etapa pertenece a selección de equipo, fuera de alcance de este módulo.</t>
        </r>
      </text>
    </comment>
  </commentList>
</comments>
</file>

<file path=xl/sharedStrings.xml><?xml version="1.0" encoding="utf-8"?>
<sst xmlns="http://schemas.openxmlformats.org/spreadsheetml/2006/main" count="1066" uniqueCount="344">
  <si>
    <t xml:space="preserve">LESTRAL CONSTRUCTORA  ·  CON ELECTROMECÁNICA DEL PACÍFICO (EMP)</t>
  </si>
  <si>
    <t xml:space="preserve">01   Proyecto — EMP Suite HVAC · LoadCalc</t>
  </si>
  <si>
    <t xml:space="preserve">Réplica en Excel nativo del motor de carga térmica · rev 2.9.7 (15-sep-2026) · solo módulo LoadCalc</t>
  </si>
  <si>
    <t xml:space="preserve">Método Carrier/HAP-style: DET por orientación y barrido horario 8–18h · excluye cuartos limpios, ventilación, ductos, selección de equipo y demás disciplinas.</t>
  </si>
  <si>
    <t xml:space="preserve">LEYENDA</t>
  </si>
  <si>
    <t xml:space="preserve">Captura (editable)</t>
  </si>
  <si>
    <t xml:space="preserve">Fórmula (no editar)</t>
  </si>
  <si>
    <t xml:space="preserve">Enlace a otra hoja</t>
  </si>
  <si>
    <t xml:space="preserve">DATOS DEL PROYECTO</t>
  </si>
  <si>
    <t xml:space="preserve">Proyecto</t>
  </si>
  <si>
    <t xml:space="preserve">Proyecto sin nombre</t>
  </si>
  <si>
    <t xml:space="preserve">Cliente</t>
  </si>
  <si>
    <t xml:space="preserve">Ubicación</t>
  </si>
  <si>
    <t xml:space="preserve">Tijuana, B.C.</t>
  </si>
  <si>
    <t xml:space="preserve">Ingeniero responsable</t>
  </si>
  <si>
    <t xml:space="preserve">Ing. Rodrigo Nuñez Loubet</t>
  </si>
  <si>
    <t xml:space="preserve">Fecha</t>
  </si>
  <si>
    <t xml:space="preserve">Motor de origen (informativo)</t>
  </si>
  <si>
    <t xml:space="preserve">SuiteEmp rev 2.9.7 · LoadCalc (Carrier/HAP-style)</t>
  </si>
  <si>
    <t xml:space="preserve">SITIO — CONDICIONES EXTERIORES DE DISEÑO</t>
  </si>
  <si>
    <t xml:space="preserve">Sitio</t>
  </si>
  <si>
    <t xml:space="preserve">Tijuana</t>
  </si>
  <si>
    <t xml:space="preserve">Tijuana / Tecate / Mexicali / Ensenada / Personalizado</t>
  </si>
  <si>
    <t xml:space="preserve">Si Personalizado — Temp. bulbo seco ext. (°C)</t>
  </si>
  <si>
    <t xml:space="preserve">Si Personalizado — Temp. bulbo húmedo ext. (°C)</t>
  </si>
  <si>
    <t xml:space="preserve">Si Personalizado — Altitud (m)</t>
  </si>
  <si>
    <t xml:space="preserve">Si Personalizado — Rango diario de temperatura (K)</t>
  </si>
  <si>
    <t xml:space="preserve">→ DB exterior resuelto (°C)</t>
  </si>
  <si>
    <t xml:space="preserve">→ WB exterior resuelto (°C)</t>
  </si>
  <si>
    <t xml:space="preserve">→ Altitud resuelta (m)</t>
  </si>
  <si>
    <t xml:space="preserve">→ Rango diario resuelto (K)</t>
  </si>
  <si>
    <t xml:space="preserve">→ Presión atmosférica (kPa)  [ASHRAE Fund. cap.1 ec.3]</t>
  </si>
  <si>
    <t xml:space="preserve">→ Razón de presión (pAtm / 101.325)</t>
  </si>
  <si>
    <t xml:space="preserve">→ Factor de aire sensible qs (0.34 × razón)</t>
  </si>
  <si>
    <t xml:space="preserve">→ Factor de aire latente ql (0.83 × razón)</t>
  </si>
  <si>
    <t xml:space="preserve">CONDICIONES INTERIORES Y CONSTANTES DEL MÉTODO</t>
  </si>
  <si>
    <t xml:space="preserve">Temp. interior de diseño (°C)</t>
  </si>
  <si>
    <t xml:space="preserve">HR interior de diseño (%)</t>
  </si>
  <si>
    <t xml:space="preserve">Latitud de referencia (°N)</t>
  </si>
  <si>
    <t xml:space="preserve">Diversidad de edificio (0.5 – 1.0)</t>
  </si>
  <si>
    <t xml:space="preserve">Margen de seguridad (constante)</t>
  </si>
  <si>
    <t xml:space="preserve">Coeficiente de color/absorción de fachada (b)</t>
  </si>
  <si>
    <t xml:space="preserve">ΔT de suministro de aire fijo (°C)</t>
  </si>
  <si>
    <t xml:space="preserve">Calor de ventilador (% del sensible de espacio)</t>
  </si>
  <si>
    <t xml:space="preserve">Ganancia en ductos no acondicionados (%)</t>
  </si>
  <si>
    <t xml:space="preserve">Ganancia sensible por persona (W)</t>
  </si>
  <si>
    <t xml:space="preserve">Ganancia latente por persona (W)</t>
  </si>
  <si>
    <t xml:space="preserve">OA mínimo por persona (m³/h) — Tabla 45</t>
  </si>
  <si>
    <t xml:space="preserve">OA mínimo por área (m³/h·m²) — Tabla 45</t>
  </si>
  <si>
    <t xml:space="preserve">Conversión W por TR</t>
  </si>
  <si>
    <t xml:space="preserve">PARTICIONES Y PISO (proxy de zonas adyacentes no capturadas)</t>
  </si>
  <si>
    <t xml:space="preserve">U partición adyacente (W/m²K)</t>
  </si>
  <si>
    <t xml:space="preserve">Fracción de área en partición</t>
  </si>
  <si>
    <t xml:space="preserve">U piso sobre no acondicionado (W/m²K)</t>
  </si>
  <si>
    <t xml:space="preserve">Fracción de área de piso expuesto (si techo = 0)</t>
  </si>
  <si>
    <t xml:space="preserve">LESTRAL · EMP</t>
  </si>
  <si>
    <t xml:space="preserve">Hoja 1 de 5</t>
  </si>
  <si>
    <t xml:space="preserve">LESTRAL CONSTRUCTORA  ·  EMP  ·  ENVOLVENTE POR ZONA — MATERIALES POR MENÚ DESPLEGABLE</t>
  </si>
  <si>
    <t xml:space="preserve">02   Captura de zonas — LoadCalc</t>
  </si>
  <si>
    <t xml:space="preserve">Una fila por zona (hasta 10). Todos los inputs numéricos nacen en blanco — captura tu proyecto real; los catálogos (material, espacio, iluminación) traen una selección por omisión editable. Las 8 orientaciones nacen con la zona (rev 2.9.2).</t>
  </si>
  <si>
    <t xml:space="preserve">Zona</t>
  </si>
  <si>
    <t xml:space="preserve">Área (m²)</t>
  </si>
  <si>
    <t xml:space="preserve">Altura (m)</t>
  </si>
  <si>
    <t xml:space="preserve">Tipo de espacio</t>
  </si>
  <si>
    <t xml:space="preserve">Horas de
operación</t>
  </si>
  <si>
    <t xml:space="preserve">Material de muro</t>
  </si>
  <si>
    <t xml:space="preserve">Muro N
(m²)</t>
  </si>
  <si>
    <t xml:space="preserve">Muro NE
(m²)</t>
  </si>
  <si>
    <t xml:space="preserve">Muro E
(m²)</t>
  </si>
  <si>
    <t xml:space="preserve">Muro SE
(m²)</t>
  </si>
  <si>
    <t xml:space="preserve">Muro S
(m²)</t>
  </si>
  <si>
    <t xml:space="preserve">Muro SW
(m²)</t>
  </si>
  <si>
    <t xml:space="preserve">Muro W
(m²)</t>
  </si>
  <si>
    <t xml:space="preserve">Muro NW
(m²)</t>
  </si>
  <si>
    <t xml:space="preserve">Área de techo/
cubierta (m²)</t>
  </si>
  <si>
    <t xml:space="preserve">Material de techo</t>
  </si>
  <si>
    <t xml:space="preserve">Material de vidrio</t>
  </si>
  <si>
    <t xml:space="preserve">Vidrio N
(m²)</t>
  </si>
  <si>
    <t xml:space="preserve">Vidrio NE
(m²)</t>
  </si>
  <si>
    <t xml:space="preserve">Vidrio E
(m²)</t>
  </si>
  <si>
    <t xml:space="preserve">Vidrio SE
(m²)</t>
  </si>
  <si>
    <t xml:space="preserve">Vidrio S
(m²)</t>
  </si>
  <si>
    <t xml:space="preserve">Vidrio SW
(m²)</t>
  </si>
  <si>
    <t xml:space="preserve">Vidrio W
(m²)</t>
  </si>
  <si>
    <t xml:space="preserve">Vidrio NW
(m²)</t>
  </si>
  <si>
    <t xml:space="preserve">Ocupantes
(pers)</t>
  </si>
  <si>
    <t xml:space="preserve">Iluminación
instalada (W)</t>
  </si>
  <si>
    <t xml:space="preserve">Tipo de
iluminación</t>
  </si>
  <si>
    <t xml:space="preserve">Equipo/fuerza
instalado (W)</t>
  </si>
  <si>
    <t xml:space="preserve">Infiltración
(cambios/h)</t>
  </si>
  <si>
    <t xml:space="preserve">Plafón de
retorno</t>
  </si>
  <si>
    <t xml:space="preserve">Oscilación diaria
de diseño (°C)</t>
  </si>
  <si>
    <t xml:space="preserve">Notas</t>
  </si>
  <si>
    <t xml:space="preserve">Estado</t>
  </si>
  <si>
    <t xml:space="preserve">TR pico</t>
  </si>
  <si>
    <t xml:space="preserve">kW pico</t>
  </si>
  <si>
    <t xml:space="preserve">Hora
pico</t>
  </si>
  <si>
    <t xml:space="preserve">Zona 1</t>
  </si>
  <si>
    <t xml:space="preserve">Oficina</t>
  </si>
  <si>
    <t xml:space="preserve">Block ligero 20 cm + panel 25 mm  [DEFAULT]</t>
  </si>
  <si>
    <t xml:space="preserve">Losa hormigón + XPS 50 mm  [DEFAULT]</t>
  </si>
  <si>
    <t xml:space="preserve">Doble vidrio claro (DGU/termopan)  [DEFAULT]</t>
  </si>
  <si>
    <t xml:space="preserve">LED</t>
  </si>
  <si>
    <t xml:space="preserve">Auto</t>
  </si>
  <si>
    <t xml:space="preserve">Zona 2</t>
  </si>
  <si>
    <t xml:space="preserve">Zona 3</t>
  </si>
  <si>
    <t xml:space="preserve">Zona 4</t>
  </si>
  <si>
    <t xml:space="preserve">Zona 5</t>
  </si>
  <si>
    <t xml:space="preserve">Zona 6</t>
  </si>
  <si>
    <t xml:space="preserve">Zona 7</t>
  </si>
  <si>
    <t xml:space="preserve">Zona 8</t>
  </si>
  <si>
    <t xml:space="preserve">Zona 9</t>
  </si>
  <si>
    <t xml:space="preserve">Zona 10</t>
  </si>
  <si>
    <t xml:space="preserve">LoadCalc rev 2.9.7 · EMP Suite HVAC / Lestral Constructora — uso interno</t>
  </si>
  <si>
    <t xml:space="preserve">Hoja 2 de 5</t>
  </si>
  <si>
    <t xml:space="preserve">LESTRAL CONSTRUCTORA  ·  EMP  ·  FÓRMULAS NATIVAS Y AUDITABLES — SIN MACROS</t>
  </si>
  <si>
    <t xml:space="preserve">03   Cálculo — barrido horario de carga térmica por zona</t>
  </si>
  <si>
    <t xml:space="preserve">Toda celda es fórmula nativa trazable a Proyecto / Referencia / Captura_Zonas. La hora pico de cada zona se halla por barrido, no se asume fija (motor Carrier/HAP-style, 8–18h solar).</t>
  </si>
  <si>
    <t xml:space="preserve">Volumen (m³)</t>
  </si>
  <si>
    <t xml:space="preserve">Horas de operación</t>
  </si>
  <si>
    <t xml:space="preserve">Rp (L/s·persona)</t>
  </si>
  <si>
    <t xml:space="preserve">Ra (L/s·m²)</t>
  </si>
  <si>
    <t xml:space="preserve">Diversidad personas</t>
  </si>
  <si>
    <t xml:space="preserve">Diversidad luces</t>
  </si>
  <si>
    <t xml:space="preserve">Diversidad equipo</t>
  </si>
  <si>
    <t xml:space="preserve">K muro (W/m²K)</t>
  </si>
  <si>
    <t xml:space="preserve">Peso muro (kg/m²)</t>
  </si>
  <si>
    <t xml:space="preserve">K techo (W/m²K)</t>
  </si>
  <si>
    <t xml:space="preserve">Peso techo (kg/m²)</t>
  </si>
  <si>
    <t xml:space="preserve">K vidrio (W/m²K)</t>
  </si>
  <si>
    <t xml:space="preserve">SHGC vidrio</t>
  </si>
  <si>
    <t xml:space="preserve">Masa constructiva wFloor (kg/m² piso)</t>
  </si>
  <si>
    <t xml:space="preserve">Clase de masa</t>
  </si>
  <si>
    <t xml:space="preserve">Oscilación diaria de diseño (°C)</t>
  </si>
  <si>
    <t xml:space="preserve">Factor de oscilación swingF</t>
  </si>
  <si>
    <t xml:space="preserve">Almacenamiento solar</t>
  </si>
  <si>
    <t xml:space="preserve">Almacenamiento luces</t>
  </si>
  <si>
    <t xml:space="preserve">Almacenamiento personas</t>
  </si>
  <si>
    <t xml:space="preserve">Almacenamiento equipo</t>
  </si>
  <si>
    <t xml:space="preserve">Multiplicador de iluminación</t>
  </si>
  <si>
    <t xml:space="preserve">¿Plafón de retorno?</t>
  </si>
  <si>
    <t xml:space="preserve">Estratificación (strat)</t>
  </si>
  <si>
    <t xml:space="preserve">Ocupantes (número)</t>
  </si>
  <si>
    <t xml:space="preserve">Ocupantes — sensible (W)</t>
  </si>
  <si>
    <t xml:space="preserve">Ocupantes — latente (W)</t>
  </si>
  <si>
    <t xml:space="preserve">Iluminación (W, constante)</t>
  </si>
  <si>
    <t xml:space="preserve">Equipos/fuerza (W, constante)</t>
  </si>
  <si>
    <t xml:space="preserve">Flujo de infiltración (m³/h)</t>
  </si>
  <si>
    <t xml:space="preserve">OA — ASHRAE 62.1 (m³/h)</t>
  </si>
  <si>
    <t xml:space="preserve">OA — por persona Tab.45 (m³/h)</t>
  </si>
  <si>
    <t xml:space="preserve">OA — por área Tab.45 (m³/h)</t>
  </si>
  <si>
    <t xml:space="preserve">OA de diseño — máx (m³/h)</t>
  </si>
  <si>
    <t xml:space="preserve">Infiltración — latente (W, constante)</t>
  </si>
  <si>
    <t xml:space="preserve">OA — latente (W, constante)</t>
  </si>
  <si>
    <t xml:space="preserve">Bruto latente (W)</t>
  </si>
  <si>
    <t xml:space="preserve">Margen de seguridad — latente (W)</t>
  </si>
  <si>
    <t xml:space="preserve">Espacio — latente (W)</t>
  </si>
  <si>
    <t xml:space="preserve">GRAN TOTAL LATENTE (W, constante)</t>
  </si>
  <si>
    <t xml:space="preserve">Hora solar →</t>
  </si>
  <si>
    <t xml:space="preserve">Muro — sensible (W)</t>
  </si>
  <si>
    <t xml:space="preserve">Techo/cubierta — sensible (W)</t>
  </si>
  <si>
    <t xml:space="preserve">Vidrio — transmisión (W)</t>
  </si>
  <si>
    <t xml:space="preserve">Vidrio — insolación (W)</t>
  </si>
  <si>
    <t xml:space="preserve">Particiones adyacentes (W)</t>
  </si>
  <si>
    <t xml:space="preserve">Piso sobre no acond. (W)</t>
  </si>
  <si>
    <t xml:space="preserve">Infiltración — sensible (W)</t>
  </si>
  <si>
    <t xml:space="preserve">OA — sensible (W)</t>
  </si>
  <si>
    <t xml:space="preserve">Bruto sensible (W)</t>
  </si>
  <si>
    <t xml:space="preserve">Calor de ventilador (W)</t>
  </si>
  <si>
    <t xml:space="preserve">Ganancia en ductos (W)</t>
  </si>
  <si>
    <t xml:space="preserve">Margen de seguridad — sensible (W)</t>
  </si>
  <si>
    <t xml:space="preserve">Espacio — sensible (W)</t>
  </si>
  <si>
    <t xml:space="preserve">Gran total — sensible (W)</t>
  </si>
  <si>
    <t xml:space="preserve">GRAN TOTAL (W)</t>
  </si>
  <si>
    <t xml:space="preserve">Toneladas de refrigeración (TR)</t>
  </si>
  <si>
    <t xml:space="preserve">Pico — GRAN TOTAL (W)</t>
  </si>
  <si>
    <t xml:space="preserve">Hora pico (solar)</t>
  </si>
  <si>
    <t xml:space="preserve">Pico — espacio sensible (W)</t>
  </si>
  <si>
    <t xml:space="preserve">Pico — sensible total (W)</t>
  </si>
  <si>
    <t xml:space="preserve">Pico — TR</t>
  </si>
  <si>
    <t xml:space="preserve">Pico — kW</t>
  </si>
  <si>
    <t xml:space="preserve">Pico — CFM de suministro</t>
  </si>
  <si>
    <t xml:space="preserve">Hoja 3 de 5</t>
  </si>
  <si>
    <t xml:space="preserve">LESTRAL CONSTRUCTORA  ·  CON ELECTROMECÁNICA DEL PACÍFICO (EMP)  ·  MEMORIA DE CÁLCULO</t>
  </si>
  <si>
    <t xml:space="preserve">04   Memoria de cálculo — carga térmica LoadCalc</t>
  </si>
  <si>
    <t xml:space="preserve">Resumen del proyecto, método y resultados por zona (barrido horario 8–18h). El total es la suma de los picos individuales de zona, no un pico simultáneo de edificio.</t>
  </si>
  <si>
    <t xml:space="preserve">DATOS DEL PROYECTO Y MÉTODO</t>
  </si>
  <si>
    <t xml:space="preserve">CAPACIDAD TOTAL DEL PROYECTO</t>
  </si>
  <si>
    <t xml:space="preserve">Sitio de diseño</t>
  </si>
  <si>
    <t xml:space="preserve">Condiciones exteriores (DB / WB / Alt.)</t>
  </si>
  <si>
    <t xml:space="preserve">Método</t>
  </si>
  <si>
    <t xml:space="preserve">Carrier/HAP-style · DET por orientación · barrido horario 8–18h (motor LoadCalc rev 2.9.7)</t>
  </si>
  <si>
    <t xml:space="preserve">Diversidad de edificio</t>
  </si>
  <si>
    <t xml:space="preserve">Margen de seguridad aplicado</t>
  </si>
  <si>
    <t xml:space="preserve">Hora pico</t>
  </si>
  <si>
    <t xml:space="preserve">Sensible (kW)</t>
  </si>
  <si>
    <t xml:space="preserve">Latente (kW)</t>
  </si>
  <si>
    <t xml:space="preserve">Total (kW)</t>
  </si>
  <si>
    <t xml:space="preserve">TR</t>
  </si>
  <si>
    <t xml:space="preserve">CFM suministro</t>
  </si>
  <si>
    <t xml:space="preserve">TOTAL DEL PROYECTO</t>
  </si>
  <si>
    <t xml:space="preserve">—</t>
  </si>
  <si>
    <t xml:space="preserve">Diversidad de edificio aplicada:</t>
  </si>
  <si>
    <t xml:space="preserve">Margen de seguridad aplicado:</t>
  </si>
  <si>
    <t xml:space="preserve">Nota: el CFM de suministro usa el ΔT fijo de Proyecto (constante histórica HAP.dT), no el punto de rocío del aparato (ADP/SHF/BF) que resuelve el motor completo para selección de equipo — esa etapa queda fuera del alcance de este libro (solo LoadCalc).</t>
  </si>
  <si>
    <t xml:space="preserve">Hoja 4 de 5</t>
  </si>
  <si>
    <t xml:space="preserve">LESTRAL CONSTRUCTORA  ·  EMP  ·  CATÁLOGOS Y FACTORES · SOLO CONSULTA</t>
  </si>
  <si>
    <t xml:space="preserve">05   Referencia — tablas del motor LoadCalc rev 2.9.7</t>
  </si>
  <si>
    <t xml:space="preserve">Todas las tablas de este libro provienen del código fuente real del motor (constantes RAW/SPACES/SOLAR_ST/SUN_H). Las filas calculadas dependen de Proyecto y se recalculan solas.</t>
  </si>
  <si>
    <t xml:space="preserve">SITIOS DE REFERENCIA (SITES)</t>
  </si>
  <si>
    <t xml:space="preserve">Clave (dropdown)</t>
  </si>
  <si>
    <t xml:space="preserve">Etiqueta</t>
  </si>
  <si>
    <t xml:space="preserve">DB ext (°C)</t>
  </si>
  <si>
    <t xml:space="preserve">WB ext (°C)</t>
  </si>
  <si>
    <t xml:space="preserve">Altitud (m)</t>
  </si>
  <si>
    <t xml:space="preserve">Rango diario (K)</t>
  </si>
  <si>
    <t xml:space="preserve">Fuente</t>
  </si>
  <si>
    <t xml:space="preserve">Tijuana, B.C. (protegido)</t>
  </si>
  <si>
    <t xml:space="preserve">constants.ts · PROTECTED · rango diario 11 K</t>
  </si>
  <si>
    <t xml:space="preserve">Tecate</t>
  </si>
  <si>
    <t xml:space="preserve">Tecate, B.C. (valle interior)</t>
  </si>
  <si>
    <t xml:space="preserve">supuesto de valle interior · ratificar con fila ASHRAE</t>
  </si>
  <si>
    <t xml:space="preserve">Mexicali</t>
  </si>
  <si>
    <t xml:space="preserve">Mexicali, B.C.</t>
  </si>
  <si>
    <t xml:space="preserve">referencia de zona desértica · ratificar</t>
  </si>
  <si>
    <t xml:space="preserve">Ensenada</t>
  </si>
  <si>
    <t xml:space="preserve">Ensenada, B.C.</t>
  </si>
  <si>
    <t xml:space="preserve">referencia costera · ratificar</t>
  </si>
  <si>
    <t xml:space="preserve">MATERIALES — MURO (catálogo del motor)</t>
  </si>
  <si>
    <t xml:space="preserve">Material</t>
  </si>
  <si>
    <t xml:space="preserve">K (W/m²K)</t>
  </si>
  <si>
    <t xml:space="preserve">Peso (kg/m²)</t>
  </si>
  <si>
    <t xml:space="preserve">Ladrillo macizo 20 cm + enlucido</t>
  </si>
  <si>
    <t xml:space="preserve">Ladrillo macizo 30 cm + enlucido</t>
  </si>
  <si>
    <t xml:space="preserve">Block hueco 20 cm (arena/grava)</t>
  </si>
  <si>
    <t xml:space="preserve">Block 15 cm + aislamiento 25 mm</t>
  </si>
  <si>
    <t xml:space="preserve">Hormigón vertido 20 cm</t>
  </si>
  <si>
    <t xml:space="preserve">Hormigón 15 cm + XPS 50 mm</t>
  </si>
  <si>
    <t xml:space="preserve">Panel sándwich PUR 100 mm</t>
  </si>
  <si>
    <t xml:space="preserve">Panel PIR 80 mm</t>
  </si>
  <si>
    <t xml:space="preserve">USG Sheetrock + metal stud + R-11</t>
  </si>
  <si>
    <t xml:space="preserve">USG Sheetrock + metal stud + R-13</t>
  </si>
  <si>
    <t xml:space="preserve">USG Sheetrock + stud 150 mm + R-19</t>
  </si>
  <si>
    <t xml:space="preserve">USG UltraLight doble capa 15.9 mm</t>
  </si>
  <si>
    <t xml:space="preserve">USG Fiberock + stud + R-13</t>
  </si>
  <si>
    <t xml:space="preserve">Muro cortina spandrel + lana 75 mm</t>
  </si>
  <si>
    <t xml:space="preserve">CMU 20 cm celdas rellenas + enlucido</t>
  </si>
  <si>
    <t xml:space="preserve">Adobe / adobón 30 cm</t>
  </si>
  <si>
    <t xml:space="preserve">Nave metálica + R-19 liner</t>
  </si>
  <si>
    <t xml:space="preserve">Panel sandwich lana mineral 100 mm</t>
  </si>
  <si>
    <t xml:space="preserve">Panel sandwich lana mineral 50 mm</t>
  </si>
  <si>
    <t xml:space="preserve">Panel sandwich poliuretano 50 mm</t>
  </si>
  <si>
    <t xml:space="preserve">Panel sandwich poliuretano 75 mm</t>
  </si>
  <si>
    <t xml:space="preserve">Panel sandwich poliuretano 100 mm</t>
  </si>
  <si>
    <t xml:space="preserve">Lámina acanalada sin aislamiento</t>
  </si>
  <si>
    <t xml:space="preserve">Lámina acanalada con fibra de vidrio 50 mm</t>
  </si>
  <si>
    <t xml:space="preserve">Block hueco de concreto 15 cm + aplanado</t>
  </si>
  <si>
    <t xml:space="preserve">Block hueco 20 cm celdas EPS</t>
  </si>
  <si>
    <t xml:space="preserve">Tilt-up concreto 20 cm + XPS 50 mm</t>
  </si>
  <si>
    <t xml:space="preserve">Tilt-up concreto 20 cm sin aislar</t>
  </si>
  <si>
    <t xml:space="preserve">MATERIALES — TECHO / CUBIERTA (catálogo del motor)</t>
  </si>
  <si>
    <t xml:space="preserve">Losa hormigón + XPS 100 mm</t>
  </si>
  <si>
    <t xml:space="preserve">Cubierta metálica aislada 80 mm</t>
  </si>
  <si>
    <t xml:space="preserve">Cubierta panel PIR 100 mm (industrial)</t>
  </si>
  <si>
    <t xml:space="preserve">USG cielo + entrepiso + R-30</t>
  </si>
  <si>
    <t xml:space="preserve">USG Sheetrock + ático ventilado R-38</t>
  </si>
  <si>
    <t xml:space="preserve">Teja / loseta + aislamiento 50 mm</t>
  </si>
  <si>
    <t xml:space="preserve">Impermeabilizante + lana 75 mm (built-up)</t>
  </si>
  <si>
    <t xml:space="preserve">Panel sandwich MgO 50 mm (plafón)</t>
  </si>
  <si>
    <t xml:space="preserve">Panel sandwich lana mineral 100 mm (plafón)</t>
  </si>
  <si>
    <t xml:space="preserve">Lámina de cubierta con fibra de vidrio 75 mm</t>
  </si>
  <si>
    <t xml:space="preserve">Panel sandwich de cubierta PUR 100 mm</t>
  </si>
  <si>
    <t xml:space="preserve">Losacero con concreto + XPS 50 mm</t>
  </si>
  <si>
    <t xml:space="preserve">Membrana TPO reflectiva + XPS 75 mm</t>
  </si>
  <si>
    <t xml:space="preserve">MATERIALES — VIDRIO (catálogo del motor)</t>
  </si>
  <si>
    <t xml:space="preserve">SHGC</t>
  </si>
  <si>
    <t xml:space="preserve">Vidrio simple 6 mm</t>
  </si>
  <si>
    <t xml:space="preserve">Vidrio simple tintado 6 mm</t>
  </si>
  <si>
    <t xml:space="preserve">DGU claro + argón 12 mm</t>
  </si>
  <si>
    <t xml:space="preserve">DGU low-e control solar</t>
  </si>
  <si>
    <t xml:space="preserve">Triple low-e (TGU)</t>
  </si>
  <si>
    <t xml:space="preserve">DGU reflectivo solar</t>
  </si>
  <si>
    <t xml:space="preserve">Laminado seguridad 8 mm</t>
  </si>
  <si>
    <t xml:space="preserve">Spandrel opaco aislado</t>
  </si>
  <si>
    <t xml:space="preserve">DGU control solar Low-E</t>
  </si>
  <si>
    <t xml:space="preserve">DGU Low-E argón + cara laminada</t>
  </si>
  <si>
    <t xml:space="preserve">Policarbonato celular 16 mm</t>
  </si>
  <si>
    <t xml:space="preserve">TIPOS DE ESPACIO (ASHRAE 62.1 Rp/Ra + diversidad, sin cuarto limpio — fuera de alcance)</t>
  </si>
  <si>
    <t xml:space="preserve">Div. personas</t>
  </si>
  <si>
    <t xml:space="preserve">Div. luces</t>
  </si>
  <si>
    <t xml:space="preserve">Div. equipo</t>
  </si>
  <si>
    <t xml:space="preserve">Comercio</t>
  </si>
  <si>
    <t xml:space="preserve">Aula</t>
  </si>
  <si>
    <t xml:space="preserve">Restaurante</t>
  </si>
  <si>
    <t xml:space="preserve">Vestíbulo</t>
  </si>
  <si>
    <t xml:space="preserve">Pasillo</t>
  </si>
  <si>
    <t xml:space="preserve">Site / datos</t>
  </si>
  <si>
    <t xml:space="preserve">Habitacional</t>
  </si>
  <si>
    <t xml:space="preserve">Almacén</t>
  </si>
  <si>
    <t xml:space="preserve">Producción / manufactura</t>
  </si>
  <si>
    <t xml:space="preserve">FACTORES DE ALMACENAMIENTO — SOLAR (por horas de operación / masa constructiva)</t>
  </si>
  <si>
    <t xml:space="preserve">Ligera</t>
  </si>
  <si>
    <t xml:space="preserve">Media</t>
  </si>
  <si>
    <t xml:space="preserve">Pesada</t>
  </si>
  <si>
    <t xml:space="preserve">FACTORES DE ALMACENAMIENTO — LUCES (por horas de operación / masa constructiva)</t>
  </si>
  <si>
    <t xml:space="preserve">FACTORES DE ALMACENAMIENTO — PERSONAS Y EQUIPO (por horas de operación)</t>
  </si>
  <si>
    <t xml:space="preserve">Personas</t>
  </si>
  <si>
    <t xml:space="preserve">Equipo</t>
  </si>
  <si>
    <t xml:space="preserve">DATOS SOLARES DE PICO POR ORIENTACIÓN (las ocho orientaciones)</t>
  </si>
  <si>
    <t xml:space="preserve">Orientación →</t>
  </si>
  <si>
    <t xml:space="preserve">N</t>
  </si>
  <si>
    <t xml:space="preserve">NE</t>
  </si>
  <si>
    <t xml:space="preserve">E</t>
  </si>
  <si>
    <t xml:space="preserve">SE</t>
  </si>
  <si>
    <t xml:space="preserve">S</t>
  </si>
  <si>
    <t xml:space="preserve">SW</t>
  </si>
  <si>
    <t xml:space="preserve">W</t>
  </si>
  <si>
    <t xml:space="preserve">NW</t>
  </si>
  <si>
    <t xml:space="preserve">DET sombra a las 16h (°C)</t>
  </si>
  <si>
    <t xml:space="preserve">Insolación pico (W/m²)</t>
  </si>
  <si>
    <t xml:space="preserve">DET pico de fachada (°C)</t>
  </si>
  <si>
    <t xml:space="preserve">DET_SHADE — piso de sombra a las 16h (°C)</t>
  </si>
  <si>
    <t xml:space="preserve">DET_ROOF_SUN — DET pico de cubierta soleada (°C)</t>
  </si>
  <si>
    <t xml:space="preserve">SUN_H — PERFIL HORARIO SOLAR POR ORIENTACIÓN (fracción del pico, estimación EMP lat. 32°N)</t>
  </si>
  <si>
    <t xml:space="preserve">TABLAS POR HORA (barrido 8–18h, columnas C:M = horas)</t>
  </si>
  <si>
    <t xml:space="preserve">ROOF_H — perfil horario de cubierta</t>
  </si>
  <si>
    <t xml:space="preserve">DRANGE_H — fracción del rango diario restada</t>
  </si>
  <si>
    <t xml:space="preserve">CALCULADO — TEMPERATURA EXTERIOR Y ΔT POR HORA (depende de Proyecto)</t>
  </si>
  <si>
    <t xml:space="preserve">ΔT de diseño (DB sitio − T interior) — dTdis</t>
  </si>
  <si>
    <t xml:space="preserve">dbAtHour — temperatura exterior a la hora (°C)</t>
  </si>
  <si>
    <t xml:space="preserve">dT(hr) — dbAtHour − T interior (°C)</t>
  </si>
  <si>
    <t xml:space="preserve">shadeAt(hr) — piso de sombra dinámico (°C)</t>
  </si>
  <si>
    <t xml:space="preserve">CALCULADO — lagF (retraso térmico de fachada por inercia, 1 hora atrás × 0.6 + actual × 0.4)</t>
  </si>
  <si>
    <t xml:space="preserve">CALCULADO — DET DE MURO POR HORA Y ORIENTACIÓN — detWall(o,hr)</t>
  </si>
  <si>
    <t xml:space="preserve">CALCULADO — DET DE CUBIERTA POR HORA — detRoof(hr)</t>
  </si>
  <si>
    <t xml:space="preserve">detRoof(hr) (°C)</t>
  </si>
  <si>
    <t xml:space="preserve">PSICROMETRÍA DE PROYECTO (ASHRAE Fundamentals — saturación de Hyland-Wexler)</t>
  </si>
  <si>
    <t xml:space="preserve">pws(WB ext) — presión de saturación a bulbo húmedo ext. (kPa)</t>
  </si>
  <si>
    <t xml:space="preserve">Ws(WB ext) — humedad de saturación a WB ext (kg/kg)</t>
  </si>
  <si>
    <t xml:space="preserve">Wo — humedad absoluta exterior (kg/kg)</t>
  </si>
  <si>
    <t xml:space="preserve">pws(T interior) — presión de saturación interior (kPa)</t>
  </si>
  <si>
    <t xml:space="preserve">Wi — humedad absoluta interior (kg/kg)</t>
  </si>
  <si>
    <t xml:space="preserve">ΔW — humedad ext − int (g/kg)</t>
  </si>
  <si>
    <t xml:space="preserve">Hoja 5 de 5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</si>
</sst>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\-mmm\-yyyy"/>
    <numFmt numFmtId="166" formatCode="0.0"/>
    <numFmt numFmtId="167" formatCode="0"/>
    <numFmt numFmtId="168" formatCode="0.00"/>
    <numFmt numFmtId="169" formatCode="0.000"/>
    <numFmt numFmtId="170" formatCode="0%"/>
    <numFmt numFmtId="171" formatCode="0.0%"/>
    <numFmt numFmtId="172" formatCode="0\h"/>
    <numFmt numFmtId="173" formatCode="General"/>
    <numFmt numFmtId="174" formatCode="#,##0"/>
    <numFmt numFmtId="175" formatCode="0.0000"/>
    <numFmt numFmtId="176" formatCode="0.0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EF8C26"/>
      <name val="Arial"/>
      <family val="0"/>
      <charset val="1"/>
    </font>
    <font>
      <b val="true"/>
      <sz val="14"/>
      <color rgb="FF1F242B"/>
      <name val="Arial"/>
      <family val="0"/>
      <charset val="1"/>
    </font>
    <font>
      <i val="true"/>
      <sz val="9"/>
      <color rgb="FF5A6A85"/>
      <name val="Arial"/>
      <family val="0"/>
      <charset val="1"/>
    </font>
    <font>
      <b val="true"/>
      <sz val="10"/>
      <color rgb="FF1F242B"/>
      <name val="Arial"/>
      <family val="0"/>
      <charset val="1"/>
    </font>
    <font>
      <sz val="10"/>
      <color rgb="FF1F5DAB"/>
      <name val="Arial"/>
      <family val="0"/>
      <charset val="1"/>
    </font>
    <font>
      <sz val="10"/>
      <color rgb="FF1F242B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8"/>
      <color rgb="FF1F242B"/>
      <name val="Arial"/>
      <family val="0"/>
      <charset val="1"/>
    </font>
    <font>
      <b val="true"/>
      <sz val="8"/>
      <color rgb="FF1F5DAB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5A6A85"/>
      <name val="Arial"/>
      <family val="0"/>
      <charset val="1"/>
    </font>
    <font>
      <b val="true"/>
      <sz val="28"/>
      <color rgb="FF1F242B"/>
      <name val="Arial"/>
      <family val="0"/>
      <charset val="1"/>
    </font>
    <font>
      <sz val="10"/>
      <color rgb="FF5A6A85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6EAF0"/>
        <bgColor rgb="FFE4EDFB"/>
      </patternFill>
    </fill>
    <fill>
      <patternFill patternType="solid">
        <fgColor rgb="FFFDECD3"/>
        <bgColor rgb="FFFDF1DD"/>
      </patternFill>
    </fill>
    <fill>
      <patternFill patternType="solid">
        <fgColor rgb="FF1F242B"/>
        <bgColor rgb="FF333300"/>
      </patternFill>
    </fill>
    <fill>
      <patternFill patternType="solid">
        <fgColor rgb="FFE4EDFB"/>
        <bgColor rgb="FFE6EAF0"/>
      </patternFill>
    </fill>
    <fill>
      <patternFill patternType="solid">
        <fgColor rgb="FFFDF1DD"/>
        <bgColor rgb="FFFDECD3"/>
      </patternFill>
    </fill>
    <fill>
      <patternFill patternType="solid">
        <fgColor rgb="FFDCE9F9"/>
        <bgColor rgb="FFE4EDFB"/>
      </patternFill>
    </fill>
    <fill>
      <patternFill patternType="solid">
        <fgColor rgb="FFF5F7FA"/>
        <bgColor rgb="FFF9F9F9"/>
      </patternFill>
    </fill>
    <fill>
      <patternFill patternType="solid">
        <fgColor rgb="FFEAF1FB"/>
        <bgColor rgb="FFE4EDFB"/>
      </patternFill>
    </fill>
    <fill>
      <patternFill patternType="solid">
        <fgColor rgb="FF1F5DAB"/>
        <bgColor rgb="FF3366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242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 style="medium">
        <color rgb="FF1F5DAB"/>
      </left>
      <right style="medium">
        <color rgb="FF1F5DAB"/>
      </right>
      <top style="medium">
        <color rgb="FF1F5DAB"/>
      </top>
      <bottom/>
      <diagonal/>
    </border>
    <border diagonalUp="false" diagonalDown="false">
      <left style="medium">
        <color rgb="FF1F5DAB"/>
      </left>
      <right style="medium">
        <color rgb="FF1F5DAB"/>
      </right>
      <top/>
      <bottom/>
      <diagonal/>
    </border>
    <border diagonalUp="false" diagonalDown="false">
      <left style="medium">
        <color rgb="FF1F5DAB"/>
      </left>
      <right/>
      <top/>
      <bottom/>
      <diagonal/>
    </border>
    <border diagonalUp="false" diagonalDown="false">
      <left/>
      <right style="medium">
        <color rgb="FF1F5DAB"/>
      </right>
      <top/>
      <bottom/>
      <diagonal/>
    </border>
    <border diagonalUp="false" diagonalDown="false">
      <left style="medium">
        <color rgb="FF1F5DAB"/>
      </left>
      <right/>
      <top/>
      <bottom style="medium">
        <color rgb="FF1F5DAB"/>
      </bottom>
      <diagonal/>
    </border>
    <border diagonalUp="false" diagonalDown="false">
      <left/>
      <right/>
      <top/>
      <bottom style="medium">
        <color rgb="FF1F5DAB"/>
      </bottom>
      <diagonal/>
    </border>
    <border diagonalUp="false" diagonalDown="false">
      <left/>
      <right style="medium">
        <color rgb="FF1F5DAB"/>
      </right>
      <top/>
      <bottom style="medium">
        <color rgb="FF1F5DA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8C6"/>
        </patternFill>
      </fill>
    </dxf>
    <dxf>
      <fill>
        <patternFill>
          <bgColor rgb="FFFDE7B8"/>
        </patternFill>
      </fill>
    </dxf>
    <dxf>
      <fill>
        <patternFill>
          <bgColor rgb="FFF6C6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78787"/>
      <rgbColor rgb="FF993366"/>
      <rgbColor rgb="FFFDF1DD"/>
      <rgbColor rgb="FFE4EDFB"/>
      <rgbColor rgb="FF660066"/>
      <rgbColor rgb="FFFF8080"/>
      <rgbColor rgb="FF1F5DAB"/>
      <rgbColor rgb="FFD9D9D9"/>
      <rgbColor rgb="FF000080"/>
      <rgbColor rgb="FFFF00FF"/>
      <rgbColor rgb="FFF5F7FA"/>
      <rgbColor rgb="FF00FFFF"/>
      <rgbColor rgb="FF800080"/>
      <rgbColor rgb="FF800000"/>
      <rgbColor rgb="FF008080"/>
      <rgbColor rgb="FF0000FF"/>
      <rgbColor rgb="FF00CCFF"/>
      <rgbColor rgb="FFDCE9F9"/>
      <rgbColor rgb="FFC6E8C6"/>
      <rgbColor rgb="FFFDE7B8"/>
      <rgbColor rgb="FFE6EAF0"/>
      <rgbColor rgb="FFFDECD3"/>
      <rgbColor rgb="FFEAF1FB"/>
      <rgbColor rgb="FFF6C6C2"/>
      <rgbColor rgb="FF3366FF"/>
      <rgbColor rgb="FF33CCCC"/>
      <rgbColor rgb="FF99CC00"/>
      <rgbColor rgb="FFFFCC00"/>
      <rgbColor rgb="FFEF8C26"/>
      <rgbColor rgb="FFFF6600"/>
      <rgbColor rgb="FF5A6A85"/>
      <rgbColor rgb="FF9AA5B1"/>
      <rgbColor rgb="FF003366"/>
      <rgbColor rgb="FF339966"/>
      <rgbColor rgb="FF003300"/>
      <rgbColor rgb="FF333300"/>
      <rgbColor rgb="FF993300"/>
      <rgbColor rgb="FF993366"/>
      <rgbColor rgb="FF333399"/>
      <rgbColor rgb="FF1F24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 1 — barrido horario (GRAN TOTAL, 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5dab"/>
            </a:solidFill>
            <a:ln w="21960">
              <a:solidFill>
                <a:srgbClr val="1f5dab"/>
              </a:solidFill>
              <a:round/>
            </a:ln>
          </c:spPr>
          <c:marker>
            <c:symbol val="circle"/>
            <c:size val="5"/>
            <c:spPr>
              <a:solidFill>
                <a:srgbClr val="1f5d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Calculo!$D$50:$N$50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Calculo!$D$65:$N$65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502577"/>
        <c:axId val="58203827"/>
      </c:lineChart>
      <c:catAx>
        <c:axId val="735025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 solar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03827"/>
        <c:crosses val="autoZero"/>
        <c:auto val="1"/>
        <c:lblAlgn val="ctr"/>
        <c:lblOffset val="100"/>
        <c:noMultiLvlLbl val="0"/>
      </c:catAx>
      <c:valAx>
        <c:axId val="582038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025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 2 — barrido horario (GRAN TOTAL, 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5dab"/>
            </a:solidFill>
            <a:ln w="21960">
              <a:solidFill>
                <a:srgbClr val="1f5dab"/>
              </a:solidFill>
              <a:round/>
            </a:ln>
          </c:spPr>
          <c:marker>
            <c:symbol val="circle"/>
            <c:size val="5"/>
            <c:spPr>
              <a:solidFill>
                <a:srgbClr val="1f5d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Calculo!$D$122:$N$122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Calculo!$D$137:$N$137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738933"/>
        <c:axId val="75302957"/>
      </c:lineChart>
      <c:catAx>
        <c:axId val="78738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 solar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02957"/>
        <c:crosses val="autoZero"/>
        <c:auto val="1"/>
        <c:lblAlgn val="ctr"/>
        <c:lblOffset val="100"/>
        <c:noMultiLvlLbl val="0"/>
      </c:catAx>
      <c:valAx>
        <c:axId val="753029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38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 3 — barrido horario (GRAN TOTAL, 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5dab"/>
            </a:solidFill>
            <a:ln w="21960">
              <a:solidFill>
                <a:srgbClr val="1f5dab"/>
              </a:solidFill>
              <a:round/>
            </a:ln>
          </c:spPr>
          <c:marker>
            <c:symbol val="circle"/>
            <c:size val="5"/>
            <c:spPr>
              <a:solidFill>
                <a:srgbClr val="1f5d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Calculo!$D$194:$N$194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Calculo!$D$209:$N$209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597354"/>
        <c:axId val="59339186"/>
      </c:lineChart>
      <c:catAx>
        <c:axId val="155973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 solar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39186"/>
        <c:crosses val="autoZero"/>
        <c:auto val="1"/>
        <c:lblAlgn val="ctr"/>
        <c:lblOffset val="100"/>
        <c:noMultiLvlLbl val="0"/>
      </c:catAx>
      <c:valAx>
        <c:axId val="59339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973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 4 — barrido horario (GRAN TOTAL, 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5dab"/>
            </a:solidFill>
            <a:ln w="21960">
              <a:solidFill>
                <a:srgbClr val="1f5dab"/>
              </a:solidFill>
              <a:round/>
            </a:ln>
          </c:spPr>
          <c:marker>
            <c:symbol val="circle"/>
            <c:size val="5"/>
            <c:spPr>
              <a:solidFill>
                <a:srgbClr val="1f5d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Calculo!$D$266:$N$266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Calculo!$D$281:$N$281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569236"/>
        <c:axId val="89799959"/>
      </c:lineChart>
      <c:catAx>
        <c:axId val="705692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 solar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99959"/>
        <c:crosses val="autoZero"/>
        <c:auto val="1"/>
        <c:lblAlgn val="ctr"/>
        <c:lblOffset val="100"/>
        <c:noMultiLvlLbl val="0"/>
      </c:catAx>
      <c:valAx>
        <c:axId val="89799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692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 5 — barrido horario (GRAN TOTAL, 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5dab"/>
            </a:solidFill>
            <a:ln w="21960">
              <a:solidFill>
                <a:srgbClr val="1f5dab"/>
              </a:solidFill>
              <a:round/>
            </a:ln>
          </c:spPr>
          <c:marker>
            <c:symbol val="circle"/>
            <c:size val="5"/>
            <c:spPr>
              <a:solidFill>
                <a:srgbClr val="1f5d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Calculo!$D$338:$N$338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Calculo!$D$353:$N$353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546657"/>
        <c:axId val="29694208"/>
      </c:lineChart>
      <c:catAx>
        <c:axId val="375466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 solar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94208"/>
        <c:crosses val="autoZero"/>
        <c:auto val="1"/>
        <c:lblAlgn val="ctr"/>
        <c:lblOffset val="100"/>
        <c:noMultiLvlLbl val="0"/>
      </c:catAx>
      <c:valAx>
        <c:axId val="29694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466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 6 — barrido horario (GRAN TOTAL, 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5dab"/>
            </a:solidFill>
            <a:ln w="21960">
              <a:solidFill>
                <a:srgbClr val="1f5dab"/>
              </a:solidFill>
              <a:round/>
            </a:ln>
          </c:spPr>
          <c:marker>
            <c:symbol val="circle"/>
            <c:size val="5"/>
            <c:spPr>
              <a:solidFill>
                <a:srgbClr val="1f5d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Calculo!$D$410:$N$410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Calculo!$D$425:$N$425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647517"/>
        <c:axId val="58037662"/>
      </c:lineChart>
      <c:catAx>
        <c:axId val="54647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 solar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37662"/>
        <c:crosses val="autoZero"/>
        <c:auto val="1"/>
        <c:lblAlgn val="ctr"/>
        <c:lblOffset val="100"/>
        <c:noMultiLvlLbl val="0"/>
      </c:catAx>
      <c:valAx>
        <c:axId val="580376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475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 7 — barrido horario (GRAN TOTAL, 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5dab"/>
            </a:solidFill>
            <a:ln w="21960">
              <a:solidFill>
                <a:srgbClr val="1f5dab"/>
              </a:solidFill>
              <a:round/>
            </a:ln>
          </c:spPr>
          <c:marker>
            <c:symbol val="circle"/>
            <c:size val="5"/>
            <c:spPr>
              <a:solidFill>
                <a:srgbClr val="1f5d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Calculo!$D$482:$N$482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Calculo!$D$497:$N$497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890515"/>
        <c:axId val="54525192"/>
      </c:lineChart>
      <c:catAx>
        <c:axId val="458905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 solar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25192"/>
        <c:crosses val="autoZero"/>
        <c:auto val="1"/>
        <c:lblAlgn val="ctr"/>
        <c:lblOffset val="100"/>
        <c:noMultiLvlLbl val="0"/>
      </c:catAx>
      <c:valAx>
        <c:axId val="54525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905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 8 — barrido horario (GRAN TOTAL, 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5dab"/>
            </a:solidFill>
            <a:ln w="21960">
              <a:solidFill>
                <a:srgbClr val="1f5dab"/>
              </a:solidFill>
              <a:round/>
            </a:ln>
          </c:spPr>
          <c:marker>
            <c:symbol val="circle"/>
            <c:size val="5"/>
            <c:spPr>
              <a:solidFill>
                <a:srgbClr val="1f5d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Calculo!$D$554:$N$554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Calculo!$D$569:$N$569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967536"/>
        <c:axId val="46276526"/>
      </c:lineChart>
      <c:catAx>
        <c:axId val="599675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 solar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76526"/>
        <c:crosses val="autoZero"/>
        <c:auto val="1"/>
        <c:lblAlgn val="ctr"/>
        <c:lblOffset val="100"/>
        <c:noMultiLvlLbl val="0"/>
      </c:catAx>
      <c:valAx>
        <c:axId val="46276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675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 9 — barrido horario (GRAN TOTAL, 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5dab"/>
            </a:solidFill>
            <a:ln w="21960">
              <a:solidFill>
                <a:srgbClr val="1f5dab"/>
              </a:solidFill>
              <a:round/>
            </a:ln>
          </c:spPr>
          <c:marker>
            <c:symbol val="circle"/>
            <c:size val="5"/>
            <c:spPr>
              <a:solidFill>
                <a:srgbClr val="1f5d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Calculo!$D$626:$N$626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Calculo!$D$641:$N$641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261527"/>
        <c:axId val="12485179"/>
      </c:lineChart>
      <c:catAx>
        <c:axId val="982615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 solar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85179"/>
        <c:crosses val="autoZero"/>
        <c:auto val="1"/>
        <c:lblAlgn val="ctr"/>
        <c:lblOffset val="100"/>
        <c:noMultiLvlLbl val="0"/>
      </c:catAx>
      <c:valAx>
        <c:axId val="12485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615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Zona 10 — barrido horario (GRAN TOTAL, 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5dab"/>
            </a:solidFill>
            <a:ln w="21960">
              <a:solidFill>
                <a:srgbClr val="1f5dab"/>
              </a:solidFill>
              <a:round/>
            </a:ln>
          </c:spPr>
          <c:marker>
            <c:symbol val="circle"/>
            <c:size val="5"/>
            <c:spPr>
              <a:solidFill>
                <a:srgbClr val="1f5da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Calculo!$D$698:$N$698</c:f>
              <c:strCach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strCache>
            </c:strRef>
          </c:cat>
          <c:val>
            <c:numRef>
              <c:f>Calculo!$D$713:$N$713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481515"/>
        <c:axId val="65725436"/>
      </c:lineChart>
      <c:catAx>
        <c:axId val="664815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 solar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25436"/>
        <c:crosses val="autoZero"/>
        <c:auto val="1"/>
        <c:lblAlgn val="ctr"/>
        <c:lblOffset val="100"/>
        <c:noMultiLvlLbl val="0"/>
      </c:catAx>
      <c:valAx>
        <c:axId val="657254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815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Sensible vs. latente por zona (kW)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Resultados!E18</c:f>
              <c:strCache>
                <c:ptCount val="1"/>
                <c:pt idx="0">
                  <c:v>Sensible (kW)</c:v>
                </c:pt>
              </c:strCache>
            </c:strRef>
          </c:tx>
          <c:spPr>
            <a:solidFill>
              <a:srgbClr val="1f5d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Resultados!$B$19:$B$28</c:f>
              <c:strCache>
                <c:ptCount val="10"/>
                <c:pt idx="0">
                  <c:v>Zona 1</c:v>
                </c:pt>
                <c:pt idx="1">
                  <c:v>Zona 2</c:v>
                </c:pt>
                <c:pt idx="2">
                  <c:v>Zona 3</c:v>
                </c:pt>
                <c:pt idx="3">
                  <c:v>Zona 4</c:v>
                </c:pt>
                <c:pt idx="4">
                  <c:v>Zona 5</c:v>
                </c:pt>
                <c:pt idx="5">
                  <c:v>Zona 6</c:v>
                </c:pt>
                <c:pt idx="6">
                  <c:v>Zona 7</c:v>
                </c:pt>
                <c:pt idx="7">
                  <c:v>Zona 8</c:v>
                </c:pt>
                <c:pt idx="8">
                  <c:v>Zona 9</c:v>
                </c:pt>
                <c:pt idx="9">
                  <c:v>Zona 10</c:v>
                </c:pt>
              </c:strCache>
            </c:strRef>
          </c:cat>
          <c:val>
            <c:numRef>
              <c:f>Resultados!$E$19:$E$28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Resultados!F18</c:f>
              <c:strCache>
                <c:ptCount val="1"/>
                <c:pt idx="0">
                  <c:v>Latente (kW)</c:v>
                </c:pt>
              </c:strCache>
            </c:strRef>
          </c:tx>
          <c:spPr>
            <a:solidFill>
              <a:srgbClr val="ef8c2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Resultados!$B$19:$B$28</c:f>
              <c:strCache>
                <c:ptCount val="10"/>
                <c:pt idx="0">
                  <c:v>Zona 1</c:v>
                </c:pt>
                <c:pt idx="1">
                  <c:v>Zona 2</c:v>
                </c:pt>
                <c:pt idx="2">
                  <c:v>Zona 3</c:v>
                </c:pt>
                <c:pt idx="3">
                  <c:v>Zona 4</c:v>
                </c:pt>
                <c:pt idx="4">
                  <c:v>Zona 5</c:v>
                </c:pt>
                <c:pt idx="5">
                  <c:v>Zona 6</c:v>
                </c:pt>
                <c:pt idx="6">
                  <c:v>Zona 7</c:v>
                </c:pt>
                <c:pt idx="7">
                  <c:v>Zona 8</c:v>
                </c:pt>
                <c:pt idx="8">
                  <c:v>Zona 9</c:v>
                </c:pt>
                <c:pt idx="9">
                  <c:v>Zona 10</c:v>
                </c:pt>
              </c:strCache>
            </c:strRef>
          </c:cat>
          <c:val>
            <c:numRef>
              <c:f>Resultados!$F$19:$F$28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69073512"/>
        <c:axId val="91920642"/>
      </c:barChart>
      <c:catAx>
        <c:axId val="69073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20642"/>
        <c:crosses val="autoZero"/>
        <c:auto val="1"/>
        <c:lblAlgn val="ctr"/>
        <c:lblOffset val="100"/>
        <c:noMultiLvlLbl val="0"/>
      </c:catAx>
      <c:valAx>
        <c:axId val="919206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735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Toneladas de refrigeración (TR) por zona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Resultados!H18</c:f>
              <c:strCache>
                <c:ptCount val="1"/>
                <c:pt idx="0">
                  <c:v>TR</c:v>
                </c:pt>
              </c:strCache>
            </c:strRef>
          </c:tx>
          <c:spPr>
            <a:solidFill>
              <a:srgbClr val="1f24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Resultados!$B$19:$B$28</c:f>
              <c:strCache>
                <c:ptCount val="10"/>
                <c:pt idx="0">
                  <c:v>Zona 1</c:v>
                </c:pt>
                <c:pt idx="1">
                  <c:v>Zona 2</c:v>
                </c:pt>
                <c:pt idx="2">
                  <c:v>Zona 3</c:v>
                </c:pt>
                <c:pt idx="3">
                  <c:v>Zona 4</c:v>
                </c:pt>
                <c:pt idx="4">
                  <c:v>Zona 5</c:v>
                </c:pt>
                <c:pt idx="5">
                  <c:v>Zona 6</c:v>
                </c:pt>
                <c:pt idx="6">
                  <c:v>Zona 7</c:v>
                </c:pt>
                <c:pt idx="7">
                  <c:v>Zona 8</c:v>
                </c:pt>
                <c:pt idx="8">
                  <c:v>Zona 9</c:v>
                </c:pt>
                <c:pt idx="9">
                  <c:v>Zona 10</c:v>
                </c:pt>
              </c:strCache>
            </c:strRef>
          </c:cat>
          <c:val>
            <c:numRef>
              <c:f>Resultados!$H$19:$H$28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56413012"/>
        <c:axId val="16672948"/>
      </c:barChart>
      <c:catAx>
        <c:axId val="564130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72948"/>
        <c:crosses val="autoZero"/>
        <c:auto val="1"/>
        <c:lblAlgn val="ctr"/>
        <c:lblOffset val="100"/>
        <c:noMultiLvlLbl val="0"/>
      </c:catAx>
      <c:valAx>
        <c:axId val="16672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130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3</xdr:row>
      <xdr:rowOff>160920</xdr:rowOff>
    </xdr:from>
    <xdr:to>
      <xdr:col>20</xdr:col>
      <xdr:colOff>398160</xdr:colOff>
      <xdr:row>11</xdr:row>
      <xdr:rowOff>148320</xdr:rowOff>
    </xdr:to>
    <xdr:graphicFrame>
      <xdr:nvGraphicFramePr>
        <xdr:cNvPr id="0" name="Chart 1"/>
        <xdr:cNvGraphicFramePr/>
      </xdr:nvGraphicFramePr>
      <xdr:xfrm>
        <a:off x="11466360" y="762120"/>
        <a:ext cx="345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75</xdr:row>
      <xdr:rowOff>160920</xdr:rowOff>
    </xdr:from>
    <xdr:to>
      <xdr:col>20</xdr:col>
      <xdr:colOff>398160</xdr:colOff>
      <xdr:row>83</xdr:row>
      <xdr:rowOff>148320</xdr:rowOff>
    </xdr:to>
    <xdr:graphicFrame>
      <xdr:nvGraphicFramePr>
        <xdr:cNvPr id="1" name="Chart 2"/>
        <xdr:cNvGraphicFramePr/>
      </xdr:nvGraphicFramePr>
      <xdr:xfrm>
        <a:off x="11466360" y="14478120"/>
        <a:ext cx="345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147</xdr:row>
      <xdr:rowOff>160920</xdr:rowOff>
    </xdr:from>
    <xdr:to>
      <xdr:col>20</xdr:col>
      <xdr:colOff>398160</xdr:colOff>
      <xdr:row>155</xdr:row>
      <xdr:rowOff>148320</xdr:rowOff>
    </xdr:to>
    <xdr:graphicFrame>
      <xdr:nvGraphicFramePr>
        <xdr:cNvPr id="2" name="Chart 3"/>
        <xdr:cNvGraphicFramePr/>
      </xdr:nvGraphicFramePr>
      <xdr:xfrm>
        <a:off x="11466360" y="28194120"/>
        <a:ext cx="345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219</xdr:row>
      <xdr:rowOff>160920</xdr:rowOff>
    </xdr:from>
    <xdr:to>
      <xdr:col>20</xdr:col>
      <xdr:colOff>398160</xdr:colOff>
      <xdr:row>227</xdr:row>
      <xdr:rowOff>148320</xdr:rowOff>
    </xdr:to>
    <xdr:graphicFrame>
      <xdr:nvGraphicFramePr>
        <xdr:cNvPr id="3" name="Chart 4"/>
        <xdr:cNvGraphicFramePr/>
      </xdr:nvGraphicFramePr>
      <xdr:xfrm>
        <a:off x="11466360" y="41910120"/>
        <a:ext cx="345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291</xdr:row>
      <xdr:rowOff>160920</xdr:rowOff>
    </xdr:from>
    <xdr:to>
      <xdr:col>20</xdr:col>
      <xdr:colOff>398160</xdr:colOff>
      <xdr:row>299</xdr:row>
      <xdr:rowOff>148320</xdr:rowOff>
    </xdr:to>
    <xdr:graphicFrame>
      <xdr:nvGraphicFramePr>
        <xdr:cNvPr id="4" name="Chart 5"/>
        <xdr:cNvGraphicFramePr/>
      </xdr:nvGraphicFramePr>
      <xdr:xfrm>
        <a:off x="11466360" y="55626120"/>
        <a:ext cx="345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0</xdr:colOff>
      <xdr:row>363</xdr:row>
      <xdr:rowOff>160920</xdr:rowOff>
    </xdr:from>
    <xdr:to>
      <xdr:col>20</xdr:col>
      <xdr:colOff>398160</xdr:colOff>
      <xdr:row>371</xdr:row>
      <xdr:rowOff>148320</xdr:rowOff>
    </xdr:to>
    <xdr:graphicFrame>
      <xdr:nvGraphicFramePr>
        <xdr:cNvPr id="5" name="Chart 6"/>
        <xdr:cNvGraphicFramePr/>
      </xdr:nvGraphicFramePr>
      <xdr:xfrm>
        <a:off x="11466360" y="69342120"/>
        <a:ext cx="345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15</xdr:col>
      <xdr:colOff>0</xdr:colOff>
      <xdr:row>435</xdr:row>
      <xdr:rowOff>160920</xdr:rowOff>
    </xdr:from>
    <xdr:to>
      <xdr:col>20</xdr:col>
      <xdr:colOff>398160</xdr:colOff>
      <xdr:row>443</xdr:row>
      <xdr:rowOff>148320</xdr:rowOff>
    </xdr:to>
    <xdr:graphicFrame>
      <xdr:nvGraphicFramePr>
        <xdr:cNvPr id="6" name="Chart 7"/>
        <xdr:cNvGraphicFramePr/>
      </xdr:nvGraphicFramePr>
      <xdr:xfrm>
        <a:off x="11466360" y="83058120"/>
        <a:ext cx="345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15</xdr:col>
      <xdr:colOff>0</xdr:colOff>
      <xdr:row>507</xdr:row>
      <xdr:rowOff>160920</xdr:rowOff>
    </xdr:from>
    <xdr:to>
      <xdr:col>20</xdr:col>
      <xdr:colOff>398160</xdr:colOff>
      <xdr:row>515</xdr:row>
      <xdr:rowOff>148320</xdr:rowOff>
    </xdr:to>
    <xdr:graphicFrame>
      <xdr:nvGraphicFramePr>
        <xdr:cNvPr id="7" name="Chart 8"/>
        <xdr:cNvGraphicFramePr/>
      </xdr:nvGraphicFramePr>
      <xdr:xfrm>
        <a:off x="11466360" y="96774120"/>
        <a:ext cx="345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579</xdr:row>
      <xdr:rowOff>160920</xdr:rowOff>
    </xdr:from>
    <xdr:to>
      <xdr:col>20</xdr:col>
      <xdr:colOff>398160</xdr:colOff>
      <xdr:row>587</xdr:row>
      <xdr:rowOff>148320</xdr:rowOff>
    </xdr:to>
    <xdr:graphicFrame>
      <xdr:nvGraphicFramePr>
        <xdr:cNvPr id="8" name="Chart 9"/>
        <xdr:cNvGraphicFramePr/>
      </xdr:nvGraphicFramePr>
      <xdr:xfrm>
        <a:off x="11466360" y="110490120"/>
        <a:ext cx="345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15</xdr:col>
      <xdr:colOff>0</xdr:colOff>
      <xdr:row>651</xdr:row>
      <xdr:rowOff>160920</xdr:rowOff>
    </xdr:from>
    <xdr:to>
      <xdr:col>20</xdr:col>
      <xdr:colOff>398160</xdr:colOff>
      <xdr:row>659</xdr:row>
      <xdr:rowOff>148320</xdr:rowOff>
    </xdr:to>
    <xdr:graphicFrame>
      <xdr:nvGraphicFramePr>
        <xdr:cNvPr id="9" name="Chart 10"/>
        <xdr:cNvGraphicFramePr/>
      </xdr:nvGraphicFramePr>
      <xdr:xfrm>
        <a:off x="11466360" y="124206120"/>
        <a:ext cx="345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34</xdr:row>
      <xdr:rowOff>67320</xdr:rowOff>
    </xdr:from>
    <xdr:to>
      <xdr:col>6</xdr:col>
      <xdr:colOff>903960</xdr:colOff>
      <xdr:row>50</xdr:row>
      <xdr:rowOff>78840</xdr:rowOff>
    </xdr:to>
    <xdr:graphicFrame>
      <xdr:nvGraphicFramePr>
        <xdr:cNvPr id="10" name="Chart 1"/>
        <xdr:cNvGraphicFramePr/>
      </xdr:nvGraphicFramePr>
      <xdr:xfrm>
        <a:off x="141120" y="68007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52</xdr:row>
      <xdr:rowOff>67320</xdr:rowOff>
    </xdr:from>
    <xdr:to>
      <xdr:col>6</xdr:col>
      <xdr:colOff>903960</xdr:colOff>
      <xdr:row>68</xdr:row>
      <xdr:rowOff>78840</xdr:rowOff>
    </xdr:to>
    <xdr:graphicFrame>
      <xdr:nvGraphicFramePr>
        <xdr:cNvPr id="11" name="Chart 2"/>
        <xdr:cNvGraphicFramePr/>
      </xdr:nvGraphicFramePr>
      <xdr:xfrm>
        <a:off x="141120" y="102297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2B"/>
    <pageSetUpPr fitToPage="true"/>
  </sheetPr>
  <dimension ref="B2:D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55"/>
  </cols>
  <sheetData>
    <row r="2" customFormat="false" ht="15" hidden="false" customHeight="false" outlineLevel="0" collapsed="false">
      <c r="B2" s="1" t="s">
        <v>0</v>
      </c>
      <c r="C2" s="1"/>
      <c r="D2" s="1"/>
    </row>
    <row r="3" customFormat="false" ht="17.35" hidden="false" customHeight="false" outlineLevel="0" collapsed="false">
      <c r="B3" s="2" t="s">
        <v>1</v>
      </c>
      <c r="C3" s="2"/>
      <c r="D3" s="2"/>
    </row>
    <row r="4" customFormat="false" ht="15" hidden="false" customHeight="true" outlineLevel="0" collapsed="false">
      <c r="B4" s="3" t="s">
        <v>2</v>
      </c>
      <c r="C4" s="3"/>
      <c r="D4" s="3"/>
    </row>
    <row r="5" customFormat="false" ht="22.35" hidden="false" customHeight="true" outlineLevel="0" collapsed="false">
      <c r="B5" s="3" t="s">
        <v>3</v>
      </c>
      <c r="C5" s="3"/>
      <c r="D5" s="3"/>
    </row>
    <row r="7" customFormat="false" ht="15" hidden="false" customHeight="false" outlineLevel="0" collapsed="false">
      <c r="B7" s="4" t="s">
        <v>4</v>
      </c>
      <c r="C7" s="4"/>
      <c r="D7" s="4"/>
    </row>
    <row r="8" customFormat="false" ht="15" hidden="false" customHeight="false" outlineLevel="0" collapsed="false">
      <c r="B8" s="5" t="s">
        <v>5</v>
      </c>
      <c r="C8" s="6" t="s">
        <v>6</v>
      </c>
      <c r="D8" s="7" t="s">
        <v>7</v>
      </c>
    </row>
    <row r="10" customFormat="false" ht="15" hidden="false" customHeight="false" outlineLevel="0" collapsed="false">
      <c r="B10" s="4" t="s">
        <v>8</v>
      </c>
      <c r="C10" s="4"/>
      <c r="D10" s="4"/>
    </row>
    <row r="11" customFormat="false" ht="15" hidden="false" customHeight="false" outlineLevel="0" collapsed="false">
      <c r="B11" s="8" t="s">
        <v>9</v>
      </c>
      <c r="C11" s="9" t="s">
        <v>10</v>
      </c>
    </row>
    <row r="12" customFormat="false" ht="15" hidden="false" customHeight="false" outlineLevel="0" collapsed="false">
      <c r="B12" s="8" t="s">
        <v>11</v>
      </c>
      <c r="C12" s="9"/>
    </row>
    <row r="13" customFormat="false" ht="15" hidden="false" customHeight="false" outlineLevel="0" collapsed="false">
      <c r="B13" s="8" t="s">
        <v>12</v>
      </c>
      <c r="C13" s="9" t="s">
        <v>13</v>
      </c>
    </row>
    <row r="14" customFormat="false" ht="15" hidden="false" customHeight="false" outlineLevel="0" collapsed="false">
      <c r="B14" s="8" t="s">
        <v>14</v>
      </c>
      <c r="C14" s="9" t="s">
        <v>15</v>
      </c>
    </row>
    <row r="15" customFormat="false" ht="15" hidden="false" customHeight="false" outlineLevel="0" collapsed="false">
      <c r="B15" s="8" t="s">
        <v>16</v>
      </c>
      <c r="C15" s="10" t="n">
        <f aca="true">TODAY()</f>
        <v>46282</v>
      </c>
    </row>
    <row r="16" customFormat="false" ht="15" hidden="false" customHeight="false" outlineLevel="0" collapsed="false">
      <c r="B16" s="8" t="s">
        <v>17</v>
      </c>
      <c r="C16" s="11" t="s">
        <v>18</v>
      </c>
    </row>
    <row r="18" customFormat="false" ht="15" hidden="false" customHeight="false" outlineLevel="0" collapsed="false">
      <c r="B18" s="4" t="s">
        <v>19</v>
      </c>
      <c r="C18" s="4"/>
      <c r="D18" s="4"/>
    </row>
    <row r="19" customFormat="false" ht="15" hidden="false" customHeight="false" outlineLevel="0" collapsed="false">
      <c r="B19" s="8" t="s">
        <v>20</v>
      </c>
      <c r="C19" s="9" t="s">
        <v>21</v>
      </c>
      <c r="D19" s="12" t="s">
        <v>22</v>
      </c>
    </row>
    <row r="20" customFormat="false" ht="15" hidden="false" customHeight="false" outlineLevel="0" collapsed="false">
      <c r="B20" s="8" t="s">
        <v>23</v>
      </c>
      <c r="C20" s="9" t="n">
        <v>35</v>
      </c>
    </row>
    <row r="21" customFormat="false" ht="15" hidden="false" customHeight="false" outlineLevel="0" collapsed="false">
      <c r="B21" s="8" t="s">
        <v>24</v>
      </c>
      <c r="C21" s="9" t="n">
        <v>24</v>
      </c>
    </row>
    <row r="22" customFormat="false" ht="15" hidden="false" customHeight="false" outlineLevel="0" collapsed="false">
      <c r="B22" s="8" t="s">
        <v>25</v>
      </c>
      <c r="C22" s="9" t="n">
        <v>0</v>
      </c>
    </row>
    <row r="23" customFormat="false" ht="15" hidden="false" customHeight="false" outlineLevel="0" collapsed="false">
      <c r="B23" s="8" t="s">
        <v>26</v>
      </c>
      <c r="C23" s="9" t="n">
        <v>11</v>
      </c>
    </row>
    <row r="25" customFormat="false" ht="15" hidden="false" customHeight="false" outlineLevel="0" collapsed="false">
      <c r="B25" s="8" t="s">
        <v>27</v>
      </c>
      <c r="C25" s="13" t="n">
        <f aca="false">IF($C$19="Personalizado",$c$c20,INDEX(Referencia!$D$5:$D$8,MATCH($C$19,Referencia!$B$5:$B$8,0)))</f>
        <v>35</v>
      </c>
    </row>
    <row r="26" customFormat="false" ht="15" hidden="false" customHeight="false" outlineLevel="0" collapsed="false">
      <c r="B26" s="8" t="s">
        <v>28</v>
      </c>
      <c r="C26" s="13" t="n">
        <f aca="false">IF($C$19="Personalizado",$c$c21,INDEX(Referencia!$E$5:$E$8,MATCH($C$19,Referencia!$B$5:$B$8,0)))</f>
        <v>24</v>
      </c>
    </row>
    <row r="27" customFormat="false" ht="15" hidden="false" customHeight="false" outlineLevel="0" collapsed="false">
      <c r="B27" s="8" t="s">
        <v>29</v>
      </c>
      <c r="C27" s="14" t="n">
        <f aca="false">IF($C$19="Personalizado",$c$c22,INDEX(Referencia!$F$5:$F$8,MATCH($C$19,Referencia!$B$5:$B$8,0)))</f>
        <v>0</v>
      </c>
    </row>
    <row r="28" customFormat="false" ht="15" hidden="false" customHeight="false" outlineLevel="0" collapsed="false">
      <c r="B28" s="8" t="s">
        <v>30</v>
      </c>
      <c r="C28" s="13" t="n">
        <f aca="false">IF($C$19="Personalizado",$c$c23,INDEX(Referencia!$G$5:$G$8,MATCH($C$19,Referencia!$B$5:$B$8,0)))</f>
        <v>11</v>
      </c>
    </row>
    <row r="29" customFormat="false" ht="15" hidden="false" customHeight="false" outlineLevel="0" collapsed="false">
      <c r="B29" s="8" t="s">
        <v>31</v>
      </c>
      <c r="C29" s="15" t="n">
        <f aca="false">101.325*(1-0.0000225577*MAX(0,$C$27))^5.2559</f>
        <v>101.325</v>
      </c>
    </row>
    <row r="30" customFormat="false" ht="15" hidden="false" customHeight="false" outlineLevel="0" collapsed="false">
      <c r="B30" s="8" t="s">
        <v>32</v>
      </c>
      <c r="C30" s="16" t="n">
        <f aca="false">$C$29/101.325</f>
        <v>1</v>
      </c>
    </row>
    <row r="31" customFormat="false" ht="15" hidden="false" customHeight="false" outlineLevel="0" collapsed="false">
      <c r="B31" s="8" t="s">
        <v>33</v>
      </c>
      <c r="C31" s="16" t="n">
        <f aca="false">0.34*$C$30</f>
        <v>0.34</v>
      </c>
    </row>
    <row r="32" customFormat="false" ht="15" hidden="false" customHeight="false" outlineLevel="0" collapsed="false">
      <c r="B32" s="8" t="s">
        <v>34</v>
      </c>
      <c r="C32" s="16" t="n">
        <f aca="false">0.83*$C$30</f>
        <v>0.83</v>
      </c>
    </row>
    <row r="34" customFormat="false" ht="15" hidden="false" customHeight="false" outlineLevel="0" collapsed="false">
      <c r="B34" s="4" t="s">
        <v>35</v>
      </c>
      <c r="C34" s="4"/>
      <c r="D34" s="4"/>
    </row>
    <row r="35" customFormat="false" ht="15" hidden="false" customHeight="false" outlineLevel="0" collapsed="false">
      <c r="B35" s="8" t="s">
        <v>36</v>
      </c>
      <c r="C35" s="9" t="n">
        <v>24</v>
      </c>
    </row>
    <row r="36" customFormat="false" ht="15" hidden="false" customHeight="false" outlineLevel="0" collapsed="false">
      <c r="B36" s="8" t="s">
        <v>37</v>
      </c>
      <c r="C36" s="17" t="n">
        <v>0.5</v>
      </c>
    </row>
    <row r="37" customFormat="false" ht="15" hidden="false" customHeight="false" outlineLevel="0" collapsed="false">
      <c r="B37" s="8" t="s">
        <v>38</v>
      </c>
      <c r="C37" s="9" t="n">
        <v>32</v>
      </c>
    </row>
    <row r="38" customFormat="false" ht="15" hidden="false" customHeight="false" outlineLevel="0" collapsed="false">
      <c r="B38" s="8" t="s">
        <v>39</v>
      </c>
      <c r="C38" s="18" t="n">
        <v>1</v>
      </c>
    </row>
    <row r="39" customFormat="false" ht="15" hidden="false" customHeight="false" outlineLevel="0" collapsed="false">
      <c r="B39" s="8" t="s">
        <v>40</v>
      </c>
      <c r="C39" s="17" t="n">
        <v>0.02</v>
      </c>
    </row>
    <row r="40" customFormat="false" ht="15" hidden="false" customHeight="false" outlineLevel="0" collapsed="false">
      <c r="B40" s="8" t="s">
        <v>41</v>
      </c>
      <c r="C40" s="18" t="n">
        <v>0.78</v>
      </c>
    </row>
    <row r="41" customFormat="false" ht="15" hidden="false" customHeight="false" outlineLevel="0" collapsed="false">
      <c r="B41" s="8" t="s">
        <v>42</v>
      </c>
      <c r="C41" s="19" t="n">
        <v>11</v>
      </c>
    </row>
    <row r="42" customFormat="false" ht="15" hidden="false" customHeight="false" outlineLevel="0" collapsed="false">
      <c r="B42" s="8" t="s">
        <v>43</v>
      </c>
      <c r="C42" s="20" t="n">
        <v>0.026</v>
      </c>
    </row>
    <row r="43" customFormat="false" ht="15" hidden="false" customHeight="false" outlineLevel="0" collapsed="false">
      <c r="B43" s="8" t="s">
        <v>44</v>
      </c>
      <c r="C43" s="20" t="n">
        <v>0.03</v>
      </c>
    </row>
    <row r="44" customFormat="false" ht="15" hidden="false" customHeight="false" outlineLevel="0" collapsed="false">
      <c r="B44" s="8" t="s">
        <v>45</v>
      </c>
      <c r="C44" s="21" t="n">
        <v>70</v>
      </c>
    </row>
    <row r="45" customFormat="false" ht="15" hidden="false" customHeight="false" outlineLevel="0" collapsed="false">
      <c r="B45" s="8" t="s">
        <v>46</v>
      </c>
      <c r="C45" s="21" t="n">
        <v>45</v>
      </c>
    </row>
    <row r="46" customFormat="false" ht="15" hidden="false" customHeight="false" outlineLevel="0" collapsed="false">
      <c r="B46" s="8" t="s">
        <v>47</v>
      </c>
      <c r="C46" s="21" t="n">
        <v>30</v>
      </c>
    </row>
    <row r="47" customFormat="false" ht="15" hidden="false" customHeight="false" outlineLevel="0" collapsed="false">
      <c r="B47" s="8" t="s">
        <v>48</v>
      </c>
      <c r="C47" s="19" t="n">
        <v>1.8</v>
      </c>
    </row>
    <row r="48" customFormat="false" ht="15" hidden="false" customHeight="false" outlineLevel="0" collapsed="false">
      <c r="B48" s="8" t="s">
        <v>49</v>
      </c>
      <c r="C48" s="21" t="n">
        <v>3517</v>
      </c>
    </row>
    <row r="50" customFormat="false" ht="15" hidden="false" customHeight="false" outlineLevel="0" collapsed="false">
      <c r="B50" s="4" t="s">
        <v>50</v>
      </c>
      <c r="C50" s="4"/>
      <c r="D50" s="4"/>
    </row>
    <row r="51" customFormat="false" ht="15" hidden="false" customHeight="false" outlineLevel="0" collapsed="false">
      <c r="B51" s="8" t="s">
        <v>51</v>
      </c>
      <c r="C51" s="18" t="n">
        <v>1.5</v>
      </c>
    </row>
    <row r="52" customFormat="false" ht="15" hidden="false" customHeight="false" outlineLevel="0" collapsed="false">
      <c r="B52" s="8" t="s">
        <v>52</v>
      </c>
      <c r="C52" s="17" t="n">
        <v>0.12</v>
      </c>
    </row>
    <row r="53" customFormat="false" ht="15" hidden="false" customHeight="false" outlineLevel="0" collapsed="false">
      <c r="B53" s="8" t="s">
        <v>53</v>
      </c>
      <c r="C53" s="18" t="n">
        <v>0.8</v>
      </c>
    </row>
    <row r="54" customFormat="false" ht="15" hidden="false" customHeight="false" outlineLevel="0" collapsed="false">
      <c r="B54" s="8" t="s">
        <v>54</v>
      </c>
      <c r="C54" s="17" t="n">
        <v>0.1</v>
      </c>
    </row>
    <row r="56" customFormat="false" ht="15" hidden="false" customHeight="false" outlineLevel="0" collapsed="false">
      <c r="B56" s="22"/>
      <c r="C56" s="22"/>
      <c r="D56" s="22"/>
    </row>
    <row r="57" customFormat="false" ht="15" hidden="false" customHeight="false" outlineLevel="0" collapsed="false">
      <c r="B57" s="23" t="s">
        <v>55</v>
      </c>
      <c r="D57" s="24" t="s">
        <v>56</v>
      </c>
    </row>
  </sheetData>
  <mergeCells count="9">
    <mergeCell ref="B2:D2"/>
    <mergeCell ref="B3:D3"/>
    <mergeCell ref="B4:D4"/>
    <mergeCell ref="B5:D5"/>
    <mergeCell ref="B7:D7"/>
    <mergeCell ref="B10:D10"/>
    <mergeCell ref="B18:D18"/>
    <mergeCell ref="B34:D34"/>
    <mergeCell ref="B50:D50"/>
  </mergeCells>
  <dataValidations count="1">
    <dataValidation allowBlank="false" errorStyle="stop" operator="between" showDropDown="false" showErrorMessage="false" showInputMessage="false" sqref="C19" type="list">
      <formula1>"Tijuana,Tecate,Mexicali,Ensenada,Personalizado"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DAB"/>
    <pageSetUpPr fitToPage="true"/>
  </sheetPr>
  <dimension ref="B2:A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15" min="8" style="0" width="7"/>
    <col collapsed="false" customWidth="true" hidden="false" outlineLevel="0" max="16" min="16" style="0" width="10"/>
    <col collapsed="false" customWidth="true" hidden="false" outlineLevel="0" max="17" min="17" style="0" width="22"/>
    <col collapsed="false" customWidth="true" hidden="false" outlineLevel="0" max="18" min="18" style="0" width="20"/>
    <col collapsed="false" customWidth="true" hidden="false" outlineLevel="0" max="26" min="19" style="0" width="7"/>
    <col collapsed="false" customWidth="true" hidden="false" outlineLevel="0" max="27" min="27" style="0" width="8"/>
    <col collapsed="false" customWidth="true" hidden="false" outlineLevel="0" max="28" min="28" style="0" width="9"/>
    <col collapsed="false" customWidth="true" hidden="false" outlineLevel="0" max="30" min="29" style="0" width="10"/>
    <col collapsed="false" customWidth="true" hidden="false" outlineLevel="0" max="33" min="31" style="0" width="9"/>
    <col collapsed="false" customWidth="true" hidden="false" outlineLevel="0" max="34" min="34" style="0" width="22"/>
    <col collapsed="false" customWidth="true" hidden="false" outlineLevel="0" max="35" min="35" style="0" width="13"/>
    <col collapsed="false" customWidth="true" hidden="false" outlineLevel="0" max="37" min="36" style="0" width="9"/>
    <col collapsed="false" customWidth="true" hidden="false" outlineLevel="0" max="38" min="38" style="0" width="7"/>
  </cols>
  <sheetData>
    <row r="2" customFormat="false" ht="15" hidden="false" customHeight="false" outlineLevel="0" collapsed="false">
      <c r="B2" s="1" t="s">
        <v>57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7.35" hidden="false" customHeight="false" outlineLevel="0" collapsed="false">
      <c r="B3" s="2" t="s">
        <v>58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2.35" hidden="false" customHeight="true" outlineLevel="0" collapsed="false">
      <c r="B4" s="3" t="s">
        <v>59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30" hidden="false" customHeight="true" outlineLevel="0" collapsed="false">
      <c r="B5" s="25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5" t="s">
        <v>74</v>
      </c>
      <c r="Q5" s="25" t="s">
        <v>75</v>
      </c>
      <c r="R5" s="25" t="s">
        <v>76</v>
      </c>
      <c r="S5" s="25" t="s">
        <v>77</v>
      </c>
      <c r="T5" s="25" t="s">
        <v>78</v>
      </c>
      <c r="U5" s="25" t="s">
        <v>79</v>
      </c>
      <c r="V5" s="25" t="s">
        <v>80</v>
      </c>
      <c r="W5" s="25" t="s">
        <v>81</v>
      </c>
      <c r="X5" s="25" t="s">
        <v>82</v>
      </c>
      <c r="Y5" s="25" t="s">
        <v>83</v>
      </c>
      <c r="Z5" s="25" t="s">
        <v>84</v>
      </c>
      <c r="AA5" s="25" t="s">
        <v>85</v>
      </c>
      <c r="AB5" s="25" t="s">
        <v>86</v>
      </c>
      <c r="AC5" s="25" t="s">
        <v>87</v>
      </c>
      <c r="AD5" s="25" t="s">
        <v>88</v>
      </c>
      <c r="AE5" s="25" t="s">
        <v>89</v>
      </c>
      <c r="AF5" s="25" t="s">
        <v>90</v>
      </c>
      <c r="AG5" s="25" t="s">
        <v>91</v>
      </c>
      <c r="AH5" s="25" t="s">
        <v>92</v>
      </c>
      <c r="AI5" s="25" t="s">
        <v>93</v>
      </c>
      <c r="AJ5" s="25" t="s">
        <v>94</v>
      </c>
      <c r="AK5" s="25" t="s">
        <v>95</v>
      </c>
      <c r="AL5" s="25" t="s">
        <v>96</v>
      </c>
    </row>
    <row r="6" customFormat="false" ht="15" hidden="false" customHeight="false" outlineLevel="0" collapsed="false">
      <c r="B6" s="9" t="s">
        <v>97</v>
      </c>
      <c r="C6" s="18"/>
      <c r="D6" s="18"/>
      <c r="E6" s="9" t="s">
        <v>98</v>
      </c>
      <c r="F6" s="9" t="n">
        <v>16</v>
      </c>
      <c r="G6" s="9" t="s">
        <v>99</v>
      </c>
      <c r="H6" s="26"/>
      <c r="I6" s="26"/>
      <c r="J6" s="26"/>
      <c r="K6" s="26"/>
      <c r="L6" s="26"/>
      <c r="M6" s="26"/>
      <c r="N6" s="26"/>
      <c r="O6" s="26"/>
      <c r="P6" s="18"/>
      <c r="Q6" s="9" t="s">
        <v>100</v>
      </c>
      <c r="R6" s="9" t="s">
        <v>101</v>
      </c>
      <c r="S6" s="27"/>
      <c r="T6" s="27"/>
      <c r="U6" s="27"/>
      <c r="V6" s="27"/>
      <c r="W6" s="27"/>
      <c r="X6" s="27"/>
      <c r="Y6" s="27"/>
      <c r="Z6" s="27"/>
      <c r="AA6" s="18"/>
      <c r="AB6" s="18"/>
      <c r="AC6" s="9" t="s">
        <v>102</v>
      </c>
      <c r="AD6" s="18"/>
      <c r="AE6" s="18"/>
      <c r="AF6" s="9" t="s">
        <v>103</v>
      </c>
      <c r="AG6" s="18"/>
      <c r="AH6" s="9"/>
      <c r="AI6" s="28" t="str">
        <f aca="false">IF(C6&lt;=0,"Sin área",IF(SUM(H6:O6)+SUM(S6:Z6)&lt;=0,"Sin envolvente","Completa"))</f>
        <v>Sin área</v>
      </c>
      <c r="AJ6" s="29" t="n">
        <f aca="false">Calculo!D72</f>
        <v>0</v>
      </c>
      <c r="AK6" s="29" t="n">
        <f aca="false">Calculo!D73</f>
        <v>0</v>
      </c>
      <c r="AL6" s="30" t="n">
        <f aca="false">Calculo!D69</f>
        <v>8</v>
      </c>
    </row>
    <row r="7" customFormat="false" ht="15" hidden="false" customHeight="false" outlineLevel="0" collapsed="false">
      <c r="B7" s="31" t="s">
        <v>104</v>
      </c>
      <c r="C7" s="32"/>
      <c r="D7" s="32"/>
      <c r="E7" s="31" t="s">
        <v>98</v>
      </c>
      <c r="F7" s="31" t="n">
        <v>16</v>
      </c>
      <c r="G7" s="31" t="s">
        <v>99</v>
      </c>
      <c r="H7" s="26"/>
      <c r="I7" s="26"/>
      <c r="J7" s="26"/>
      <c r="K7" s="26"/>
      <c r="L7" s="26"/>
      <c r="M7" s="26"/>
      <c r="N7" s="26"/>
      <c r="O7" s="26"/>
      <c r="P7" s="32"/>
      <c r="Q7" s="31" t="s">
        <v>100</v>
      </c>
      <c r="R7" s="31" t="s">
        <v>101</v>
      </c>
      <c r="S7" s="27"/>
      <c r="T7" s="27"/>
      <c r="U7" s="27"/>
      <c r="V7" s="27"/>
      <c r="W7" s="27"/>
      <c r="X7" s="27"/>
      <c r="Y7" s="27"/>
      <c r="Z7" s="27"/>
      <c r="AA7" s="32"/>
      <c r="AB7" s="32"/>
      <c r="AC7" s="31" t="s">
        <v>102</v>
      </c>
      <c r="AD7" s="32"/>
      <c r="AE7" s="32"/>
      <c r="AF7" s="31" t="s">
        <v>103</v>
      </c>
      <c r="AG7" s="32"/>
      <c r="AH7" s="31"/>
      <c r="AI7" s="28" t="str">
        <f aca="false">IF(C7&lt;=0,"Sin área",IF(SUM(H7:O7)+SUM(S7:Z7)&lt;=0,"Sin envolvente","Completa"))</f>
        <v>Sin área</v>
      </c>
      <c r="AJ7" s="29" t="n">
        <f aca="false">Calculo!D144</f>
        <v>0</v>
      </c>
      <c r="AK7" s="29" t="n">
        <f aca="false">Calculo!D145</f>
        <v>0</v>
      </c>
      <c r="AL7" s="30" t="n">
        <f aca="false">Calculo!D141</f>
        <v>8</v>
      </c>
    </row>
    <row r="8" customFormat="false" ht="15" hidden="false" customHeight="false" outlineLevel="0" collapsed="false">
      <c r="B8" s="9" t="s">
        <v>105</v>
      </c>
      <c r="C8" s="18"/>
      <c r="D8" s="18"/>
      <c r="E8" s="9" t="s">
        <v>98</v>
      </c>
      <c r="F8" s="9" t="n">
        <v>16</v>
      </c>
      <c r="G8" s="9" t="s">
        <v>99</v>
      </c>
      <c r="H8" s="26"/>
      <c r="I8" s="26"/>
      <c r="J8" s="26"/>
      <c r="K8" s="26"/>
      <c r="L8" s="26"/>
      <c r="M8" s="26"/>
      <c r="N8" s="26"/>
      <c r="O8" s="26"/>
      <c r="P8" s="18"/>
      <c r="Q8" s="9" t="s">
        <v>100</v>
      </c>
      <c r="R8" s="9" t="s">
        <v>101</v>
      </c>
      <c r="S8" s="27"/>
      <c r="T8" s="27"/>
      <c r="U8" s="27"/>
      <c r="V8" s="27"/>
      <c r="W8" s="27"/>
      <c r="X8" s="27"/>
      <c r="Y8" s="27"/>
      <c r="Z8" s="27"/>
      <c r="AA8" s="18"/>
      <c r="AB8" s="18"/>
      <c r="AC8" s="9" t="s">
        <v>102</v>
      </c>
      <c r="AD8" s="18"/>
      <c r="AE8" s="18"/>
      <c r="AF8" s="9" t="s">
        <v>103</v>
      </c>
      <c r="AG8" s="18"/>
      <c r="AH8" s="9"/>
      <c r="AI8" s="28" t="str">
        <f aca="false">IF(C8&lt;=0,"Sin área",IF(SUM(H8:O8)+SUM(S8:Z8)&lt;=0,"Sin envolvente","Completa"))</f>
        <v>Sin área</v>
      </c>
      <c r="AJ8" s="29" t="n">
        <f aca="false">Calculo!D216</f>
        <v>0</v>
      </c>
      <c r="AK8" s="29" t="n">
        <f aca="false">Calculo!D217</f>
        <v>0</v>
      </c>
      <c r="AL8" s="30" t="n">
        <f aca="false">Calculo!D213</f>
        <v>8</v>
      </c>
    </row>
    <row r="9" customFormat="false" ht="15" hidden="false" customHeight="false" outlineLevel="0" collapsed="false">
      <c r="B9" s="31" t="s">
        <v>106</v>
      </c>
      <c r="C9" s="32"/>
      <c r="D9" s="32"/>
      <c r="E9" s="31" t="s">
        <v>98</v>
      </c>
      <c r="F9" s="31" t="n">
        <v>16</v>
      </c>
      <c r="G9" s="31" t="s">
        <v>99</v>
      </c>
      <c r="H9" s="26"/>
      <c r="I9" s="26"/>
      <c r="J9" s="26"/>
      <c r="K9" s="26"/>
      <c r="L9" s="26"/>
      <c r="M9" s="26"/>
      <c r="N9" s="26"/>
      <c r="O9" s="26"/>
      <c r="P9" s="32"/>
      <c r="Q9" s="31" t="s">
        <v>100</v>
      </c>
      <c r="R9" s="31" t="s">
        <v>101</v>
      </c>
      <c r="S9" s="27"/>
      <c r="T9" s="27"/>
      <c r="U9" s="27"/>
      <c r="V9" s="27"/>
      <c r="W9" s="27"/>
      <c r="X9" s="27"/>
      <c r="Y9" s="27"/>
      <c r="Z9" s="27"/>
      <c r="AA9" s="32"/>
      <c r="AB9" s="32"/>
      <c r="AC9" s="31" t="s">
        <v>102</v>
      </c>
      <c r="AD9" s="32"/>
      <c r="AE9" s="32"/>
      <c r="AF9" s="31" t="s">
        <v>103</v>
      </c>
      <c r="AG9" s="32"/>
      <c r="AH9" s="31"/>
      <c r="AI9" s="28" t="str">
        <f aca="false">IF(C9&lt;=0,"Sin área",IF(SUM(H9:O9)+SUM(S9:Z9)&lt;=0,"Sin envolvente","Completa"))</f>
        <v>Sin área</v>
      </c>
      <c r="AJ9" s="29" t="n">
        <f aca="false">Calculo!D288</f>
        <v>0</v>
      </c>
      <c r="AK9" s="29" t="n">
        <f aca="false">Calculo!D289</f>
        <v>0</v>
      </c>
      <c r="AL9" s="30" t="n">
        <f aca="false">Calculo!D285</f>
        <v>8</v>
      </c>
    </row>
    <row r="10" customFormat="false" ht="15" hidden="false" customHeight="false" outlineLevel="0" collapsed="false">
      <c r="B10" s="9" t="s">
        <v>107</v>
      </c>
      <c r="C10" s="18"/>
      <c r="D10" s="18"/>
      <c r="E10" s="9" t="s">
        <v>98</v>
      </c>
      <c r="F10" s="9" t="n">
        <v>16</v>
      </c>
      <c r="G10" s="9" t="s">
        <v>99</v>
      </c>
      <c r="H10" s="26"/>
      <c r="I10" s="26"/>
      <c r="J10" s="26"/>
      <c r="K10" s="26"/>
      <c r="L10" s="26"/>
      <c r="M10" s="26"/>
      <c r="N10" s="26"/>
      <c r="O10" s="26"/>
      <c r="P10" s="18"/>
      <c r="Q10" s="9" t="s">
        <v>100</v>
      </c>
      <c r="R10" s="9" t="s">
        <v>101</v>
      </c>
      <c r="S10" s="27"/>
      <c r="T10" s="27"/>
      <c r="U10" s="27"/>
      <c r="V10" s="27"/>
      <c r="W10" s="27"/>
      <c r="X10" s="27"/>
      <c r="Y10" s="27"/>
      <c r="Z10" s="27"/>
      <c r="AA10" s="18"/>
      <c r="AB10" s="18"/>
      <c r="AC10" s="9" t="s">
        <v>102</v>
      </c>
      <c r="AD10" s="18"/>
      <c r="AE10" s="18"/>
      <c r="AF10" s="9" t="s">
        <v>103</v>
      </c>
      <c r="AG10" s="18"/>
      <c r="AH10" s="9"/>
      <c r="AI10" s="28" t="str">
        <f aca="false">IF(C10&lt;=0,"Sin área",IF(SUM(H10:O10)+SUM(S10:Z10)&lt;=0,"Sin envolvente","Completa"))</f>
        <v>Sin área</v>
      </c>
      <c r="AJ10" s="29" t="n">
        <f aca="false">Calculo!D360</f>
        <v>0</v>
      </c>
      <c r="AK10" s="29" t="n">
        <f aca="false">Calculo!D361</f>
        <v>0</v>
      </c>
      <c r="AL10" s="30" t="n">
        <f aca="false">Calculo!D357</f>
        <v>8</v>
      </c>
    </row>
    <row r="11" customFormat="false" ht="15" hidden="false" customHeight="false" outlineLevel="0" collapsed="false">
      <c r="B11" s="31" t="s">
        <v>108</v>
      </c>
      <c r="C11" s="32"/>
      <c r="D11" s="32"/>
      <c r="E11" s="31" t="s">
        <v>98</v>
      </c>
      <c r="F11" s="31" t="n">
        <v>16</v>
      </c>
      <c r="G11" s="31" t="s">
        <v>99</v>
      </c>
      <c r="H11" s="26"/>
      <c r="I11" s="26"/>
      <c r="J11" s="26"/>
      <c r="K11" s="26"/>
      <c r="L11" s="26"/>
      <c r="M11" s="26"/>
      <c r="N11" s="26"/>
      <c r="O11" s="26"/>
      <c r="P11" s="32"/>
      <c r="Q11" s="31" t="s">
        <v>100</v>
      </c>
      <c r="R11" s="31" t="s">
        <v>101</v>
      </c>
      <c r="S11" s="27"/>
      <c r="T11" s="27"/>
      <c r="U11" s="27"/>
      <c r="V11" s="27"/>
      <c r="W11" s="27"/>
      <c r="X11" s="27"/>
      <c r="Y11" s="27"/>
      <c r="Z11" s="27"/>
      <c r="AA11" s="32"/>
      <c r="AB11" s="32"/>
      <c r="AC11" s="31" t="s">
        <v>102</v>
      </c>
      <c r="AD11" s="32"/>
      <c r="AE11" s="32"/>
      <c r="AF11" s="31" t="s">
        <v>103</v>
      </c>
      <c r="AG11" s="32"/>
      <c r="AH11" s="31"/>
      <c r="AI11" s="28" t="str">
        <f aca="false">IF(C11&lt;=0,"Sin área",IF(SUM(H11:O11)+SUM(S11:Z11)&lt;=0,"Sin envolvente","Completa"))</f>
        <v>Sin área</v>
      </c>
      <c r="AJ11" s="29" t="n">
        <f aca="false">Calculo!D432</f>
        <v>0</v>
      </c>
      <c r="AK11" s="29" t="n">
        <f aca="false">Calculo!D433</f>
        <v>0</v>
      </c>
      <c r="AL11" s="30" t="n">
        <f aca="false">Calculo!D429</f>
        <v>8</v>
      </c>
    </row>
    <row r="12" customFormat="false" ht="15" hidden="false" customHeight="false" outlineLevel="0" collapsed="false">
      <c r="B12" s="9" t="s">
        <v>109</v>
      </c>
      <c r="C12" s="18"/>
      <c r="D12" s="18"/>
      <c r="E12" s="9" t="s">
        <v>98</v>
      </c>
      <c r="F12" s="9" t="n">
        <v>16</v>
      </c>
      <c r="G12" s="9" t="s">
        <v>99</v>
      </c>
      <c r="H12" s="26"/>
      <c r="I12" s="26"/>
      <c r="J12" s="26"/>
      <c r="K12" s="26"/>
      <c r="L12" s="26"/>
      <c r="M12" s="26"/>
      <c r="N12" s="26"/>
      <c r="O12" s="26"/>
      <c r="P12" s="18"/>
      <c r="Q12" s="9" t="s">
        <v>100</v>
      </c>
      <c r="R12" s="9" t="s">
        <v>101</v>
      </c>
      <c r="S12" s="27"/>
      <c r="T12" s="27"/>
      <c r="U12" s="27"/>
      <c r="V12" s="27"/>
      <c r="W12" s="27"/>
      <c r="X12" s="27"/>
      <c r="Y12" s="27"/>
      <c r="Z12" s="27"/>
      <c r="AA12" s="18"/>
      <c r="AB12" s="18"/>
      <c r="AC12" s="9" t="s">
        <v>102</v>
      </c>
      <c r="AD12" s="18"/>
      <c r="AE12" s="18"/>
      <c r="AF12" s="9" t="s">
        <v>103</v>
      </c>
      <c r="AG12" s="18"/>
      <c r="AH12" s="9"/>
      <c r="AI12" s="28" t="str">
        <f aca="false">IF(C12&lt;=0,"Sin área",IF(SUM(H12:O12)+SUM(S12:Z12)&lt;=0,"Sin envolvente","Completa"))</f>
        <v>Sin área</v>
      </c>
      <c r="AJ12" s="29" t="n">
        <f aca="false">Calculo!D504</f>
        <v>0</v>
      </c>
      <c r="AK12" s="29" t="n">
        <f aca="false">Calculo!D505</f>
        <v>0</v>
      </c>
      <c r="AL12" s="30" t="n">
        <f aca="false">Calculo!D501</f>
        <v>8</v>
      </c>
    </row>
    <row r="13" customFormat="false" ht="15" hidden="false" customHeight="false" outlineLevel="0" collapsed="false">
      <c r="B13" s="31" t="s">
        <v>110</v>
      </c>
      <c r="C13" s="32"/>
      <c r="D13" s="32"/>
      <c r="E13" s="31" t="s">
        <v>98</v>
      </c>
      <c r="F13" s="31" t="n">
        <v>16</v>
      </c>
      <c r="G13" s="31" t="s">
        <v>99</v>
      </c>
      <c r="H13" s="26"/>
      <c r="I13" s="26"/>
      <c r="J13" s="26"/>
      <c r="K13" s="26"/>
      <c r="L13" s="26"/>
      <c r="M13" s="26"/>
      <c r="N13" s="26"/>
      <c r="O13" s="26"/>
      <c r="P13" s="32"/>
      <c r="Q13" s="31" t="s">
        <v>100</v>
      </c>
      <c r="R13" s="31" t="s">
        <v>101</v>
      </c>
      <c r="S13" s="27"/>
      <c r="T13" s="27"/>
      <c r="U13" s="27"/>
      <c r="V13" s="27"/>
      <c r="W13" s="27"/>
      <c r="X13" s="27"/>
      <c r="Y13" s="27"/>
      <c r="Z13" s="27"/>
      <c r="AA13" s="32"/>
      <c r="AB13" s="32"/>
      <c r="AC13" s="31" t="s">
        <v>102</v>
      </c>
      <c r="AD13" s="32"/>
      <c r="AE13" s="32"/>
      <c r="AF13" s="31" t="s">
        <v>103</v>
      </c>
      <c r="AG13" s="32"/>
      <c r="AH13" s="31"/>
      <c r="AI13" s="28" t="str">
        <f aca="false">IF(C13&lt;=0,"Sin área",IF(SUM(H13:O13)+SUM(S13:Z13)&lt;=0,"Sin envolvente","Completa"))</f>
        <v>Sin área</v>
      </c>
      <c r="AJ13" s="29" t="n">
        <f aca="false">Calculo!D576</f>
        <v>0</v>
      </c>
      <c r="AK13" s="29" t="n">
        <f aca="false">Calculo!D577</f>
        <v>0</v>
      </c>
      <c r="AL13" s="30" t="n">
        <f aca="false">Calculo!D573</f>
        <v>8</v>
      </c>
    </row>
    <row r="14" customFormat="false" ht="15" hidden="false" customHeight="false" outlineLevel="0" collapsed="false">
      <c r="B14" s="9" t="s">
        <v>111</v>
      </c>
      <c r="C14" s="18"/>
      <c r="D14" s="18"/>
      <c r="E14" s="9" t="s">
        <v>98</v>
      </c>
      <c r="F14" s="9" t="n">
        <v>16</v>
      </c>
      <c r="G14" s="9" t="s">
        <v>99</v>
      </c>
      <c r="H14" s="26"/>
      <c r="I14" s="26"/>
      <c r="J14" s="26"/>
      <c r="K14" s="26"/>
      <c r="L14" s="26"/>
      <c r="M14" s="26"/>
      <c r="N14" s="26"/>
      <c r="O14" s="26"/>
      <c r="P14" s="18"/>
      <c r="Q14" s="9" t="s">
        <v>100</v>
      </c>
      <c r="R14" s="9" t="s">
        <v>101</v>
      </c>
      <c r="S14" s="27"/>
      <c r="T14" s="27"/>
      <c r="U14" s="27"/>
      <c r="V14" s="27"/>
      <c r="W14" s="27"/>
      <c r="X14" s="27"/>
      <c r="Y14" s="27"/>
      <c r="Z14" s="27"/>
      <c r="AA14" s="18"/>
      <c r="AB14" s="18"/>
      <c r="AC14" s="9" t="s">
        <v>102</v>
      </c>
      <c r="AD14" s="18"/>
      <c r="AE14" s="18"/>
      <c r="AF14" s="9" t="s">
        <v>103</v>
      </c>
      <c r="AG14" s="18"/>
      <c r="AH14" s="9"/>
      <c r="AI14" s="28" t="str">
        <f aca="false">IF(C14&lt;=0,"Sin área",IF(SUM(H14:O14)+SUM(S14:Z14)&lt;=0,"Sin envolvente","Completa"))</f>
        <v>Sin área</v>
      </c>
      <c r="AJ14" s="29" t="n">
        <f aca="false">Calculo!D648</f>
        <v>0</v>
      </c>
      <c r="AK14" s="29" t="n">
        <f aca="false">Calculo!D649</f>
        <v>0</v>
      </c>
      <c r="AL14" s="30" t="n">
        <f aca="false">Calculo!D645</f>
        <v>8</v>
      </c>
    </row>
    <row r="15" customFormat="false" ht="15" hidden="false" customHeight="false" outlineLevel="0" collapsed="false">
      <c r="B15" s="31" t="s">
        <v>112</v>
      </c>
      <c r="C15" s="32"/>
      <c r="D15" s="32"/>
      <c r="E15" s="31" t="s">
        <v>98</v>
      </c>
      <c r="F15" s="31" t="n">
        <v>16</v>
      </c>
      <c r="G15" s="31" t="s">
        <v>99</v>
      </c>
      <c r="H15" s="26"/>
      <c r="I15" s="26"/>
      <c r="J15" s="26"/>
      <c r="K15" s="26"/>
      <c r="L15" s="26"/>
      <c r="M15" s="26"/>
      <c r="N15" s="26"/>
      <c r="O15" s="26"/>
      <c r="P15" s="32"/>
      <c r="Q15" s="31" t="s">
        <v>100</v>
      </c>
      <c r="R15" s="31" t="s">
        <v>101</v>
      </c>
      <c r="S15" s="27"/>
      <c r="T15" s="27"/>
      <c r="U15" s="27"/>
      <c r="V15" s="27"/>
      <c r="W15" s="27"/>
      <c r="X15" s="27"/>
      <c r="Y15" s="27"/>
      <c r="Z15" s="27"/>
      <c r="AA15" s="32"/>
      <c r="AB15" s="32"/>
      <c r="AC15" s="31" t="s">
        <v>102</v>
      </c>
      <c r="AD15" s="32"/>
      <c r="AE15" s="32"/>
      <c r="AF15" s="31" t="s">
        <v>103</v>
      </c>
      <c r="AG15" s="32"/>
      <c r="AH15" s="31"/>
      <c r="AI15" s="28" t="str">
        <f aca="false">IF(C15&lt;=0,"Sin área",IF(SUM(H15:O15)+SUM(S15:Z15)&lt;=0,"Sin envolvente","Completa"))</f>
        <v>Sin área</v>
      </c>
      <c r="AJ15" s="29" t="n">
        <f aca="false">Calculo!D720</f>
        <v>0</v>
      </c>
      <c r="AK15" s="29" t="n">
        <f aca="false">Calculo!D721</f>
        <v>0</v>
      </c>
      <c r="AL15" s="30" t="n">
        <f aca="false">Calculo!D717</f>
        <v>8</v>
      </c>
    </row>
    <row r="17" customFormat="false" ht="15" hidden="false" customHeight="false" outlineLevel="0" collapsed="false"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customFormat="false" ht="15" hidden="false" customHeight="false" outlineLevel="0" collapsed="false">
      <c r="B18" s="23" t="s">
        <v>55</v>
      </c>
      <c r="C18" s="33" t="s">
        <v>113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24" t="s">
        <v>114</v>
      </c>
    </row>
  </sheetData>
  <mergeCells count="4">
    <mergeCell ref="B2:L2"/>
    <mergeCell ref="B3:L3"/>
    <mergeCell ref="B4:L4"/>
    <mergeCell ref="C18:AK18"/>
  </mergeCells>
  <conditionalFormatting sqref="AI6:AI15">
    <cfRule type="expression" priority="2" aboveAverage="0" equalAverage="0" bottom="0" percent="0" rank="0" text="" dxfId="0">
      <formula>AI6="Completa"</formula>
    </cfRule>
    <cfRule type="expression" priority="3" aboveAverage="0" equalAverage="0" bottom="0" percent="0" rank="0" text="" dxfId="1">
      <formula>AI6="Sin envolvente"</formula>
    </cfRule>
    <cfRule type="expression" priority="4" aboveAverage="0" equalAverage="0" bottom="0" percent="0" rank="0" text="" dxfId="2">
      <formula>AI6="Sin área"</formula>
    </cfRule>
  </conditionalFormatting>
  <conditionalFormatting sqref="AJ6:AJ15">
    <cfRule type="dataBar" priority="5">
      <dataBar showValue="1" minLength="10" maxLength="90">
        <cfvo type="num" val="0"/>
        <cfvo type="max" val="0"/>
        <color rgb="FF1F5DAB"/>
      </dataBar>
      <extLst>
        <ext xmlns:x14="http://schemas.microsoft.com/office/spreadsheetml/2009/9/main" uri="{B025F937-C7B1-47D3-B67F-A62EFF666E3E}">
          <x14:id>{60362910-7F8A-4385-ACBC-9685526A74B6}</x14:id>
        </ext>
      </extLst>
    </cfRule>
  </conditionalFormatting>
  <dataValidations count="7">
    <dataValidation allowBlank="true" errorStyle="stop" operator="between" showDropDown="false" showErrorMessage="true" showInputMessage="false" sqref="E6:E15" type="list">
      <formula1>Referencia!$B$79:$B$88</formula1>
      <formula2>0</formula2>
    </dataValidation>
    <dataValidation allowBlank="true" errorStyle="stop" operator="between" showDropDown="false" showErrorMessage="true" showInputMessage="false" sqref="F6:F15" type="list">
      <formula1>"12,16,24"</formula1>
      <formula2>0</formula2>
    </dataValidation>
    <dataValidation allowBlank="true" errorStyle="stop" operator="between" showDropDown="false" showErrorMessage="true" showInputMessage="false" sqref="G6:G15" type="list">
      <formula1>Referencia!$B$15:$B$43</formula1>
      <formula2>0</formula2>
    </dataValidation>
    <dataValidation allowBlank="true" errorStyle="stop" operator="between" showDropDown="false" showErrorMessage="true" showInputMessage="false" sqref="Q6:Q15" type="list">
      <formula1>Referencia!$B$47:$B$60</formula1>
      <formula2>0</formula2>
    </dataValidation>
    <dataValidation allowBlank="true" errorStyle="stop" operator="between" showDropDown="false" showErrorMessage="true" showInputMessage="false" sqref="R6:R15" type="list">
      <formula1>Referencia!$B$64:$B$75</formula1>
      <formula2>0</formula2>
    </dataValidation>
    <dataValidation allowBlank="true" errorStyle="stop" operator="between" showDropDown="false" showErrorMessage="true" showInputMessage="false" sqref="AC6:AC15" type="list">
      <formula1>"LED,Fluorescente"</formula1>
      <formula2>0</formula2>
    </dataValidation>
    <dataValidation allowBlank="true" errorStyle="stop" operator="between" showDropDown="false" showErrorMessage="true" showInputMessage="false" sqref="AF6:AF15" type="list">
      <formula1>"Auto,Sí,No"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3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362910-7F8A-4385-ACBC-9685526A74B6}">
            <x14:dataBar minLength="10" maxLength="90" axisPosition="none" gradient="true">
              <x14:cfvo type="num">
                <xm:f>0</xm:f>
              </x14:cfvo>
              <x14:cfvo type="max"/>
              <x14:negativeFillColor rgb="FF1F5DAB"/>
              <x14:axisColor rgb="FF000000"/>
            </x14:dataBar>
          </x14:cfRule>
          <xm:sqref>AJ6:AJ15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DAB"/>
    <pageSetUpPr fitToPage="true"/>
  </sheetPr>
  <dimension ref="C2:N7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0"/>
    <col collapsed="false" customWidth="true" hidden="false" outlineLevel="0" max="14" min="4" style="0" width="10"/>
  </cols>
  <sheetData>
    <row r="2" customFormat="false" ht="15" hidden="false" customHeight="false" outlineLevel="0" collapsed="false">
      <c r="C2" s="1" t="s">
        <v>115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7.35" hidden="false" customHeight="false" outlineLevel="0" collapsed="false">
      <c r="C3" s="2" t="s">
        <v>116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C4" s="3" t="s">
        <v>117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C5" s="34" t="str">
        <f aca="false">Captura_Zonas!B6</f>
        <v>Zona 1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customFormat="false" ht="15" hidden="false" customHeight="false" outlineLevel="0" collapsed="false">
      <c r="C6" s="8" t="s">
        <v>61</v>
      </c>
      <c r="D6" s="15" t="n">
        <f aca="false">Captura_Zonas!C6</f>
        <v>0</v>
      </c>
    </row>
    <row r="7" customFormat="false" ht="15" hidden="false" customHeight="false" outlineLevel="0" collapsed="false">
      <c r="C7" s="8" t="s">
        <v>62</v>
      </c>
      <c r="D7" s="15" t="n">
        <f aca="false">MAX(0.1,Captura_Zonas!D6)</f>
        <v>0.1</v>
      </c>
    </row>
    <row r="8" customFormat="false" ht="15" hidden="false" customHeight="false" outlineLevel="0" collapsed="false">
      <c r="C8" s="8" t="s">
        <v>118</v>
      </c>
      <c r="D8" s="13" t="n">
        <f aca="false">D6*D7</f>
        <v>0</v>
      </c>
    </row>
    <row r="9" customFormat="false" ht="15" hidden="false" customHeight="false" outlineLevel="0" collapsed="false">
      <c r="C9" s="8" t="s">
        <v>63</v>
      </c>
      <c r="D9" s="8" t="str">
        <f aca="false">Captura_Zonas!E6</f>
        <v>Oficina</v>
      </c>
    </row>
    <row r="10" customFormat="false" ht="15" hidden="false" customHeight="false" outlineLevel="0" collapsed="false">
      <c r="C10" s="8" t="s">
        <v>119</v>
      </c>
      <c r="D10" s="14" t="n">
        <f aca="false">Captura_Zonas!F6</f>
        <v>16</v>
      </c>
    </row>
    <row r="11" customFormat="false" ht="15" hidden="false" customHeight="false" outlineLevel="0" collapsed="false">
      <c r="C11" s="8" t="s">
        <v>120</v>
      </c>
      <c r="D11" s="13" t="n">
        <f aca="false">INDEX(Referencia!$C$79:$C$88,MATCH(D9,Referencia!$B$79:$B$88,0))</f>
        <v>2.5</v>
      </c>
    </row>
    <row r="12" customFormat="false" ht="15" hidden="false" customHeight="false" outlineLevel="0" collapsed="false">
      <c r="C12" s="8" t="s">
        <v>121</v>
      </c>
      <c r="D12" s="15" t="n">
        <f aca="false">INDEX(Referencia!$D$79:$D$88,MATCH(D9,Referencia!$B$79:$B$88,0))</f>
        <v>0.3</v>
      </c>
    </row>
    <row r="13" customFormat="false" ht="15" hidden="false" customHeight="false" outlineLevel="0" collapsed="false">
      <c r="C13" s="8" t="s">
        <v>122</v>
      </c>
      <c r="D13" s="15" t="n">
        <f aca="false">INDEX(Referencia!$E$79:$E$88,MATCH(D9,Referencia!$B$79:$B$88,0))</f>
        <v>0.9</v>
      </c>
    </row>
    <row r="14" customFormat="false" ht="15" hidden="false" customHeight="false" outlineLevel="0" collapsed="false">
      <c r="C14" s="8" t="s">
        <v>123</v>
      </c>
      <c r="D14" s="15" t="n">
        <f aca="false">INDEX(Referencia!$F$79:$F$88,MATCH(D9,Referencia!$B$79:$B$88,0))</f>
        <v>0.95</v>
      </c>
    </row>
    <row r="15" customFormat="false" ht="15" hidden="false" customHeight="false" outlineLevel="0" collapsed="false">
      <c r="C15" s="8" t="s">
        <v>124</v>
      </c>
      <c r="D15" s="15" t="n">
        <f aca="false">INDEX(Referencia!$G$79:$G$88,MATCH(D9,Referencia!$B$79:$B$88,0))</f>
        <v>0.9</v>
      </c>
    </row>
    <row r="16" customFormat="false" ht="15" hidden="false" customHeight="false" outlineLevel="0" collapsed="false">
      <c r="C16" s="8" t="s">
        <v>125</v>
      </c>
      <c r="D16" s="16" t="n">
        <f aca="false">INDEX(Referencia!$C$15:$C$43,MATCH(Captura_Zonas!G6,Referencia!$B$15:$B$43,0))</f>
        <v>0.849</v>
      </c>
    </row>
    <row r="17" customFormat="false" ht="15" hidden="false" customHeight="false" outlineLevel="0" collapsed="false">
      <c r="C17" s="8" t="s">
        <v>126</v>
      </c>
      <c r="D17" s="14" t="n">
        <f aca="false">INDEX(Referencia!$D$15:$D$43,MATCH(Captura_Zonas!G6,Referencia!$B$15:$B$43,0))</f>
        <v>176</v>
      </c>
    </row>
    <row r="18" customFormat="false" ht="15" hidden="false" customHeight="false" outlineLevel="0" collapsed="false">
      <c r="C18" s="8" t="s">
        <v>127</v>
      </c>
      <c r="D18" s="16" t="n">
        <f aca="false">INDEX(Referencia!$C$47:$C$60,MATCH(Captura_Zonas!Q6,Referencia!$B$47:$B$60,0))</f>
        <v>0.55</v>
      </c>
    </row>
    <row r="19" customFormat="false" ht="15" hidden="false" customHeight="false" outlineLevel="0" collapsed="false">
      <c r="C19" s="8" t="s">
        <v>128</v>
      </c>
      <c r="D19" s="14" t="n">
        <f aca="false">INDEX(Referencia!$D$47:$D$60,MATCH(Captura_Zonas!Q6,Referencia!$B$47:$B$60,0))</f>
        <v>320</v>
      </c>
    </row>
    <row r="20" customFormat="false" ht="15" hidden="false" customHeight="false" outlineLevel="0" collapsed="false">
      <c r="C20" s="8" t="s">
        <v>129</v>
      </c>
      <c r="D20" s="15" t="n">
        <f aca="false">INDEX(Referencia!$C$64:$C$75,MATCH(Captura_Zonas!R6,Referencia!$B$64:$B$75,0))</f>
        <v>2.8</v>
      </c>
    </row>
    <row r="21" customFormat="false" ht="15" hidden="false" customHeight="false" outlineLevel="0" collapsed="false">
      <c r="C21" s="8" t="s">
        <v>130</v>
      </c>
      <c r="D21" s="15" t="n">
        <f aca="false">INDEX(Referencia!$E$64:$E$75,MATCH(Captura_Zonas!R6,Referencia!$B$64:$B$75,0))</f>
        <v>0.7</v>
      </c>
    </row>
    <row r="22" customFormat="false" ht="15" hidden="false" customHeight="false" outlineLevel="0" collapsed="false">
      <c r="C22" s="8" t="s">
        <v>131</v>
      </c>
      <c r="D22" s="13" t="n">
        <f aca="false">IF(D6&gt;0,((Captura_Zonas!H6+Captura_Zonas!I6+Captura_Zonas!J6+Captura_Zonas!K6+Captura_Zonas!L6+Captura_Zonas!M6+Captura_Zonas!N6+Captura_Zonas!O6)*D17+Captura_Zonas!P6*D19+(Captura_Zonas!S6+Captura_Zonas!T6+Captura_Zonas!U6+Captura_Zonas!V6+Captura_Zonas!W6+Captura_Zonas!X6+Captura_Zonas!Y6+Captura_Zonas!Z6)*25)/D6,200)</f>
        <v>200</v>
      </c>
    </row>
    <row r="23" customFormat="false" ht="15" hidden="false" customHeight="false" outlineLevel="0" collapsed="false">
      <c r="C23" s="8" t="s">
        <v>132</v>
      </c>
      <c r="D23" s="8" t="str">
        <f aca="false">IF(D22&lt;150,"Ligera",IF(D22&lt;350,"Media","Pesada"))</f>
        <v>Media</v>
      </c>
    </row>
    <row r="24" customFormat="false" ht="15" hidden="false" customHeight="false" outlineLevel="0" collapsed="false">
      <c r="C24" s="8" t="s">
        <v>133</v>
      </c>
      <c r="D24" s="13" t="n">
        <f aca="false">MAX(0,Captura_Zonas!AG6)</f>
        <v>0</v>
      </c>
    </row>
    <row r="25" customFormat="false" ht="15" hidden="false" customHeight="false" outlineLevel="0" collapsed="false">
      <c r="C25" s="8" t="s">
        <v>134</v>
      </c>
      <c r="D25" s="16" t="n">
        <f aca="false">IF(D24&lt;=0,1,MAX(0.75,1-D24*IF(D23="Pesada",0.04,IF(D23="Media",0.03,0.02))*2.5))</f>
        <v>1</v>
      </c>
    </row>
    <row r="26" customFormat="false" ht="15" hidden="false" customHeight="false" outlineLevel="0" collapsed="false">
      <c r="C26" s="8" t="s">
        <v>135</v>
      </c>
      <c r="D26" s="16" t="n">
        <f aca="false">INDEX(Referencia!$C$92:$E$94,MATCH(D10,Referencia!$B$92:$B$94,0),MATCH(D23,{"Ligera","Media","Pesada"},0))*D25</f>
        <v>0.66</v>
      </c>
    </row>
    <row r="27" customFormat="false" ht="15" hidden="false" customHeight="false" outlineLevel="0" collapsed="false">
      <c r="C27" s="8" t="s">
        <v>136</v>
      </c>
      <c r="D27" s="16" t="n">
        <f aca="false">INDEX(Referencia!$C$98:$E$100,MATCH(D10,Referencia!$B$98:$B$100,0),MATCH(D23,{"Ligera","Media","Pesada"},0))*D25</f>
        <v>0.7</v>
      </c>
    </row>
    <row r="28" customFormat="false" ht="15" hidden="false" customHeight="false" outlineLevel="0" collapsed="false">
      <c r="C28" s="8" t="s">
        <v>137</v>
      </c>
      <c r="D28" s="15" t="n">
        <f aca="false">INDEX(Referencia!$C$104:$C$106,MATCH(D10,Referencia!$B$104:$B$106,0))</f>
        <v>0.9</v>
      </c>
    </row>
    <row r="29" customFormat="false" ht="15" hidden="false" customHeight="false" outlineLevel="0" collapsed="false">
      <c r="C29" s="8" t="s">
        <v>138</v>
      </c>
      <c r="D29" s="15" t="n">
        <f aca="false">INDEX(Referencia!$D$104:$D$106,MATCH(D10,Referencia!$B$104:$B$106,0))</f>
        <v>0.9</v>
      </c>
    </row>
    <row r="30" customFormat="false" ht="15" hidden="false" customHeight="false" outlineLevel="0" collapsed="false">
      <c r="C30" s="8" t="s">
        <v>139</v>
      </c>
      <c r="D30" s="15" t="n">
        <f aca="false">IF(Captura_Zonas!AC6="Fluorescente",1.2,1)</f>
        <v>1</v>
      </c>
    </row>
    <row r="31" customFormat="false" ht="15" hidden="false" customHeight="false" outlineLevel="0" collapsed="false">
      <c r="C31" s="8" t="s">
        <v>140</v>
      </c>
      <c r="D31" s="35" t="b">
        <f aca="false">IF(Captura_Zonas!AF6="Auto",D7&gt;=3.5,Captura_Zonas!AF6="Sí")</f>
        <v>0</v>
      </c>
    </row>
    <row r="32" customFormat="false" ht="15" hidden="false" customHeight="false" outlineLevel="0" collapsed="false">
      <c r="C32" s="8" t="s">
        <v>141</v>
      </c>
      <c r="D32" s="15" t="n">
        <f aca="false">IF(D7&lt;=3.2,1,IF(AND(D31,D7&gt;=4),0.7,IF(D7&gt;=5,0.75,IF(D7&gt;=4,0.85,0.92))))</f>
        <v>1</v>
      </c>
    </row>
    <row r="33" customFormat="false" ht="15" hidden="false" customHeight="false" outlineLevel="0" collapsed="false">
      <c r="C33" s="8" t="s">
        <v>142</v>
      </c>
      <c r="D33" s="14" t="n">
        <f aca="false">MAX(0,ROUND(Captura_Zonas!AA6,0))</f>
        <v>0</v>
      </c>
    </row>
    <row r="34" customFormat="false" ht="15" hidden="false" customHeight="false" outlineLevel="0" collapsed="false">
      <c r="C34" s="8" t="s">
        <v>143</v>
      </c>
      <c r="D34" s="14" t="n">
        <f aca="false">D33*Proyecto!$C$44*D28*D13*Proyecto!$C$38</f>
        <v>0</v>
      </c>
    </row>
    <row r="35" customFormat="false" ht="15" hidden="false" customHeight="false" outlineLevel="0" collapsed="false">
      <c r="C35" s="8" t="s">
        <v>144</v>
      </c>
      <c r="D35" s="14" t="n">
        <f aca="false">D33*Proyecto!$C$45*D13*Proyecto!$C$38</f>
        <v>0</v>
      </c>
    </row>
    <row r="36" customFormat="false" ht="15" hidden="false" customHeight="false" outlineLevel="0" collapsed="false">
      <c r="C36" s="8" t="s">
        <v>145</v>
      </c>
      <c r="D36" s="14" t="n">
        <f aca="false">MAX(0,Captura_Zonas!AB6)*D30*D27*D14*Proyecto!$C$38*D32</f>
        <v>0</v>
      </c>
    </row>
    <row r="37" customFormat="false" ht="15" hidden="false" customHeight="false" outlineLevel="0" collapsed="false">
      <c r="C37" s="8" t="s">
        <v>146</v>
      </c>
      <c r="D37" s="14" t="n">
        <f aca="false">MAX(0,Captura_Zonas!AD6)*D29*D15*Proyecto!$C$38</f>
        <v>0</v>
      </c>
    </row>
    <row r="38" customFormat="false" ht="15" hidden="false" customHeight="false" outlineLevel="0" collapsed="false">
      <c r="C38" s="8" t="s">
        <v>147</v>
      </c>
      <c r="D38" s="14" t="n">
        <f aca="false">D8*MAX(0,Captura_Zonas!AE6)</f>
        <v>0</v>
      </c>
    </row>
    <row r="39" customFormat="false" ht="15" hidden="false" customHeight="false" outlineLevel="0" collapsed="false">
      <c r="C39" s="8" t="s">
        <v>148</v>
      </c>
      <c r="D39" s="14" t="n">
        <f aca="false">(D11*D33+D12*D6)*3.6</f>
        <v>0</v>
      </c>
    </row>
    <row r="40" customFormat="false" ht="15" hidden="false" customHeight="false" outlineLevel="0" collapsed="false">
      <c r="C40" s="8" t="s">
        <v>149</v>
      </c>
      <c r="D40" s="14" t="n">
        <f aca="false">D33*Proyecto!$C$46</f>
        <v>0</v>
      </c>
    </row>
    <row r="41" customFormat="false" ht="15" hidden="false" customHeight="false" outlineLevel="0" collapsed="false">
      <c r="C41" s="8" t="s">
        <v>150</v>
      </c>
      <c r="D41" s="14" t="n">
        <f aca="false">D6*Proyecto!$C$47</f>
        <v>0</v>
      </c>
    </row>
    <row r="42" customFormat="false" ht="15" hidden="false" customHeight="false" outlineLevel="0" collapsed="false">
      <c r="C42" s="8" t="s">
        <v>151</v>
      </c>
      <c r="D42" s="14" t="n">
        <f aca="false">MAX(D39,D40,D41,0)</f>
        <v>0</v>
      </c>
    </row>
    <row r="43" customFormat="false" ht="15" hidden="false" customHeight="false" outlineLevel="0" collapsed="false">
      <c r="C43" s="8" t="s">
        <v>152</v>
      </c>
      <c r="D43" s="14" t="n">
        <f aca="false">D38*Proyecto!$C$32*Referencia!$C$179</f>
        <v>0</v>
      </c>
    </row>
    <row r="44" customFormat="false" ht="15" hidden="false" customHeight="false" outlineLevel="0" collapsed="false">
      <c r="C44" s="8" t="s">
        <v>153</v>
      </c>
      <c r="D44" s="14" t="n">
        <f aca="false">D42*Proyecto!$C$32*Referencia!$C$179</f>
        <v>0</v>
      </c>
    </row>
    <row r="45" customFormat="false" ht="15" hidden="false" customHeight="false" outlineLevel="0" collapsed="false">
      <c r="C45" s="8" t="s">
        <v>154</v>
      </c>
      <c r="D45" s="14" t="n">
        <f aca="false">D35+D43</f>
        <v>0</v>
      </c>
    </row>
    <row r="46" customFormat="false" ht="15" hidden="false" customHeight="false" outlineLevel="0" collapsed="false">
      <c r="C46" s="8" t="s">
        <v>155</v>
      </c>
      <c r="D46" s="14" t="n">
        <f aca="false">D45*Proyecto!$C$39</f>
        <v>0</v>
      </c>
    </row>
    <row r="47" customFormat="false" ht="15" hidden="false" customHeight="false" outlineLevel="0" collapsed="false">
      <c r="C47" s="8" t="s">
        <v>156</v>
      </c>
      <c r="D47" s="14" t="n">
        <f aca="false">D45+D46</f>
        <v>0</v>
      </c>
    </row>
    <row r="48" customFormat="false" ht="15" hidden="false" customHeight="false" outlineLevel="0" collapsed="false">
      <c r="C48" s="8" t="s">
        <v>157</v>
      </c>
      <c r="D48" s="36" t="n">
        <f aca="false">D47+D44</f>
        <v>0</v>
      </c>
    </row>
    <row r="50" customFormat="false" ht="15" hidden="false" customHeight="false" outlineLevel="0" collapsed="false">
      <c r="C50" s="34" t="s">
        <v>158</v>
      </c>
      <c r="D50" s="37" t="n">
        <f aca="false">Referencia!C$132</f>
        <v>8</v>
      </c>
      <c r="E50" s="37" t="n">
        <f aca="false">Referencia!D$132</f>
        <v>9</v>
      </c>
      <c r="F50" s="37" t="n">
        <f aca="false">Referencia!E$132</f>
        <v>10</v>
      </c>
      <c r="G50" s="37" t="n">
        <f aca="false">Referencia!F$132</f>
        <v>11</v>
      </c>
      <c r="H50" s="37" t="n">
        <f aca="false">Referencia!G$132</f>
        <v>12</v>
      </c>
      <c r="I50" s="37" t="n">
        <f aca="false">Referencia!H$132</f>
        <v>13</v>
      </c>
      <c r="J50" s="37" t="n">
        <f aca="false">Referencia!I$132</f>
        <v>14</v>
      </c>
      <c r="K50" s="37" t="n">
        <f aca="false">Referencia!J$132</f>
        <v>15</v>
      </c>
      <c r="L50" s="37" t="n">
        <f aca="false">Referencia!K$132</f>
        <v>16</v>
      </c>
      <c r="M50" s="37" t="n">
        <f aca="false">Referencia!L$132</f>
        <v>17</v>
      </c>
      <c r="N50" s="37" t="n">
        <f aca="false">Referencia!M$132</f>
        <v>18</v>
      </c>
    </row>
    <row r="51" customFormat="false" ht="15" hidden="false" customHeight="false" outlineLevel="0" collapsed="false">
      <c r="C51" s="8" t="s">
        <v>159</v>
      </c>
      <c r="D51" s="14" t="n">
        <f aca="false">D16*SUMPRODUCT(Captura_Zonas!$H$6:$O$6,Referencia!$C$158:$J$158)</f>
        <v>0</v>
      </c>
      <c r="E51" s="14" t="n">
        <f aca="false">D16*SUMPRODUCT(Captura_Zonas!$H$6:$O$6,Referencia!$C$159:$J$159)</f>
        <v>0</v>
      </c>
      <c r="F51" s="14" t="n">
        <f aca="false">D16*SUMPRODUCT(Captura_Zonas!$H$6:$O$6,Referencia!$C$160:$J$160)</f>
        <v>0</v>
      </c>
      <c r="G51" s="14" t="n">
        <f aca="false">D16*SUMPRODUCT(Captura_Zonas!$H$6:$O$6,Referencia!$C$161:$J$161)</f>
        <v>0</v>
      </c>
      <c r="H51" s="14" t="n">
        <f aca="false">D16*SUMPRODUCT(Captura_Zonas!$H$6:$O$6,Referencia!$C$162:$J$162)</f>
        <v>0</v>
      </c>
      <c r="I51" s="14" t="n">
        <f aca="false">D16*SUMPRODUCT(Captura_Zonas!$H$6:$O$6,Referencia!$C$163:$J$163)</f>
        <v>0</v>
      </c>
      <c r="J51" s="14" t="n">
        <f aca="false">D16*SUMPRODUCT(Captura_Zonas!$H$6:$O$6,Referencia!$C$164:$J$164)</f>
        <v>0</v>
      </c>
      <c r="K51" s="14" t="n">
        <f aca="false">D16*SUMPRODUCT(Captura_Zonas!$H$6:$O$6,Referencia!$C$165:$J$165)</f>
        <v>0</v>
      </c>
      <c r="L51" s="14" t="n">
        <f aca="false">D16*SUMPRODUCT(Captura_Zonas!$H$6:$O$6,Referencia!$C$166:$J$166)</f>
        <v>0</v>
      </c>
      <c r="M51" s="14" t="n">
        <f aca="false">D16*SUMPRODUCT(Captura_Zonas!$H$6:$O$6,Referencia!$C$167:$J$167)</f>
        <v>0</v>
      </c>
      <c r="N51" s="14" t="n">
        <f aca="false">D16*SUMPRODUCT(Captura_Zonas!$H$6:$O$6,Referencia!$C$168:$J$168)</f>
        <v>0</v>
      </c>
    </row>
    <row r="52" customFormat="false" ht="15" hidden="false" customHeight="false" outlineLevel="0" collapsed="false">
      <c r="C52" s="8" t="s">
        <v>160</v>
      </c>
      <c r="D52" s="14" t="n">
        <f aca="false">D18*Captura_Zonas!P6*Referencia!C$171</f>
        <v>0</v>
      </c>
      <c r="E52" s="14" t="n">
        <f aca="false">D18*Captura_Zonas!P6*Referencia!D$171</f>
        <v>0</v>
      </c>
      <c r="F52" s="14" t="n">
        <f aca="false">D18*Captura_Zonas!P6*Referencia!E$171</f>
        <v>0</v>
      </c>
      <c r="G52" s="14" t="n">
        <f aca="false">D18*Captura_Zonas!P6*Referencia!F$171</f>
        <v>0</v>
      </c>
      <c r="H52" s="14" t="n">
        <f aca="false">D18*Captura_Zonas!P6*Referencia!G$171</f>
        <v>0</v>
      </c>
      <c r="I52" s="14" t="n">
        <f aca="false">D18*Captura_Zonas!P6*Referencia!H$171</f>
        <v>0</v>
      </c>
      <c r="J52" s="14" t="n">
        <f aca="false">D18*Captura_Zonas!P6*Referencia!I$171</f>
        <v>0</v>
      </c>
      <c r="K52" s="14" t="n">
        <f aca="false">D18*Captura_Zonas!P6*Referencia!J$171</f>
        <v>0</v>
      </c>
      <c r="L52" s="14" t="n">
        <f aca="false">D18*Captura_Zonas!P6*Referencia!K$171</f>
        <v>0</v>
      </c>
      <c r="M52" s="14" t="n">
        <f aca="false">D18*Captura_Zonas!P6*Referencia!L$171</f>
        <v>0</v>
      </c>
      <c r="N52" s="14" t="n">
        <f aca="false">D18*Captura_Zonas!P6*Referencia!M$171</f>
        <v>0</v>
      </c>
    </row>
    <row r="53" customFormat="false" ht="15" hidden="false" customHeight="false" outlineLevel="0" collapsed="false">
      <c r="C53" s="8" t="s">
        <v>161</v>
      </c>
      <c r="D53" s="14" t="n">
        <f aca="false">D20*(Captura_Zonas!S6+Captura_Zonas!T6+Captura_Zonas!U6+Captura_Zonas!V6+Captura_Zonas!W6+Captura_Zonas!X6+Captura_Zonas!Y6+Captura_Zonas!Z6)*Referencia!C$139</f>
        <v>0</v>
      </c>
      <c r="E53" s="14" t="n">
        <f aca="false">D20*(Captura_Zonas!S6+Captura_Zonas!T6+Captura_Zonas!U6+Captura_Zonas!V6+Captura_Zonas!W6+Captura_Zonas!X6+Captura_Zonas!Y6+Captura_Zonas!Z6)*Referencia!D$139</f>
        <v>0</v>
      </c>
      <c r="F53" s="14" t="n">
        <f aca="false">D20*(Captura_Zonas!S6+Captura_Zonas!T6+Captura_Zonas!U6+Captura_Zonas!V6+Captura_Zonas!W6+Captura_Zonas!X6+Captura_Zonas!Y6+Captura_Zonas!Z6)*Referencia!E$139</f>
        <v>0</v>
      </c>
      <c r="G53" s="14" t="n">
        <f aca="false">D20*(Captura_Zonas!S6+Captura_Zonas!T6+Captura_Zonas!U6+Captura_Zonas!V6+Captura_Zonas!W6+Captura_Zonas!X6+Captura_Zonas!Y6+Captura_Zonas!Z6)*Referencia!F$139</f>
        <v>0</v>
      </c>
      <c r="H53" s="14" t="n">
        <f aca="false">D20*(Captura_Zonas!S6+Captura_Zonas!T6+Captura_Zonas!U6+Captura_Zonas!V6+Captura_Zonas!W6+Captura_Zonas!X6+Captura_Zonas!Y6+Captura_Zonas!Z6)*Referencia!G$139</f>
        <v>0</v>
      </c>
      <c r="I53" s="14" t="n">
        <f aca="false">D20*(Captura_Zonas!S6+Captura_Zonas!T6+Captura_Zonas!U6+Captura_Zonas!V6+Captura_Zonas!W6+Captura_Zonas!X6+Captura_Zonas!Y6+Captura_Zonas!Z6)*Referencia!H$139</f>
        <v>0</v>
      </c>
      <c r="J53" s="14" t="n">
        <f aca="false">D20*(Captura_Zonas!S6+Captura_Zonas!T6+Captura_Zonas!U6+Captura_Zonas!V6+Captura_Zonas!W6+Captura_Zonas!X6+Captura_Zonas!Y6+Captura_Zonas!Z6)*Referencia!I$139</f>
        <v>0</v>
      </c>
      <c r="K53" s="14" t="n">
        <f aca="false">D20*(Captura_Zonas!S6+Captura_Zonas!T6+Captura_Zonas!U6+Captura_Zonas!V6+Captura_Zonas!W6+Captura_Zonas!X6+Captura_Zonas!Y6+Captura_Zonas!Z6)*Referencia!J$139</f>
        <v>0</v>
      </c>
      <c r="L53" s="14" t="n">
        <f aca="false">D20*(Captura_Zonas!S6+Captura_Zonas!T6+Captura_Zonas!U6+Captura_Zonas!V6+Captura_Zonas!W6+Captura_Zonas!X6+Captura_Zonas!Y6+Captura_Zonas!Z6)*Referencia!K$139</f>
        <v>0</v>
      </c>
      <c r="M53" s="14" t="n">
        <f aca="false">D20*(Captura_Zonas!S6+Captura_Zonas!T6+Captura_Zonas!U6+Captura_Zonas!V6+Captura_Zonas!W6+Captura_Zonas!X6+Captura_Zonas!Y6+Captura_Zonas!Z6)*Referencia!L$139</f>
        <v>0</v>
      </c>
      <c r="N53" s="14" t="n">
        <f aca="false">D20*(Captura_Zonas!S6+Captura_Zonas!T6+Captura_Zonas!U6+Captura_Zonas!V6+Captura_Zonas!W6+Captura_Zonas!X6+Captura_Zonas!Y6+Captura_Zonas!Z6)*Referencia!M$139</f>
        <v>0</v>
      </c>
    </row>
    <row r="54" customFormat="false" ht="15" hidden="false" customHeight="false" outlineLevel="0" collapsed="false">
      <c r="C54" s="8" t="s">
        <v>162</v>
      </c>
      <c r="D54" s="14" t="n">
        <f aca="false">D21*D26*SUMPRODUCT(Captura_Zonas!$S$6:$Z$6,Referencia!$C$111:$J$111,Referencia!$C$119:$J$119)</f>
        <v>0</v>
      </c>
      <c r="E54" s="14" t="n">
        <f aca="false">D21*D26*SUMPRODUCT(Captura_Zonas!$S$6:$Z$6,Referencia!$C$111:$J$111,Referencia!$C$120:$J$120)</f>
        <v>0</v>
      </c>
      <c r="F54" s="14" t="n">
        <f aca="false">D21*D26*SUMPRODUCT(Captura_Zonas!$S$6:$Z$6,Referencia!$C$111:$J$111,Referencia!$C$121:$J$121)</f>
        <v>0</v>
      </c>
      <c r="G54" s="14" t="n">
        <f aca="false">D21*D26*SUMPRODUCT(Captura_Zonas!$S$6:$Z$6,Referencia!$C$111:$J$111,Referencia!$C$122:$J$122)</f>
        <v>0</v>
      </c>
      <c r="H54" s="14" t="n">
        <f aca="false">D21*D26*SUMPRODUCT(Captura_Zonas!$S$6:$Z$6,Referencia!$C$111:$J$111,Referencia!$C$123:$J$123)</f>
        <v>0</v>
      </c>
      <c r="I54" s="14" t="n">
        <f aca="false">D21*D26*SUMPRODUCT(Captura_Zonas!$S$6:$Z$6,Referencia!$C$111:$J$111,Referencia!$C$124:$J$124)</f>
        <v>0</v>
      </c>
      <c r="J54" s="14" t="n">
        <f aca="false">D21*D26*SUMPRODUCT(Captura_Zonas!$S$6:$Z$6,Referencia!$C$111:$J$111,Referencia!$C$125:$J$125)</f>
        <v>0</v>
      </c>
      <c r="K54" s="14" t="n">
        <f aca="false">D21*D26*SUMPRODUCT(Captura_Zonas!$S$6:$Z$6,Referencia!$C$111:$J$111,Referencia!$C$126:$J$126)</f>
        <v>0</v>
      </c>
      <c r="L54" s="14" t="n">
        <f aca="false">D21*D26*SUMPRODUCT(Captura_Zonas!$S$6:$Z$6,Referencia!$C$111:$J$111,Referencia!$C$127:$J$127)</f>
        <v>0</v>
      </c>
      <c r="M54" s="14" t="n">
        <f aca="false">D21*D26*SUMPRODUCT(Captura_Zonas!$S$6:$Z$6,Referencia!$C$111:$J$111,Referencia!$C$128:$J$128)</f>
        <v>0</v>
      </c>
      <c r="N54" s="14" t="n">
        <f aca="false">D21*D26*SUMPRODUCT(Captura_Zonas!$S$6:$Z$6,Referencia!$C$111:$J$111,Referencia!$C$129:$J$129)</f>
        <v>0</v>
      </c>
    </row>
    <row r="55" customFormat="false" ht="15" hidden="false" customHeight="false" outlineLevel="0" collapsed="false">
      <c r="C55" s="8" t="s">
        <v>163</v>
      </c>
      <c r="D55" s="14" t="n">
        <f aca="false">D6*Proyecto!$C$52*Proyecto!$C$51*MAX(3,Referencia!C$139*0.35)</f>
        <v>0</v>
      </c>
      <c r="E55" s="14" t="n">
        <f aca="false">D6*Proyecto!$C$52*Proyecto!$C$51*MAX(3,Referencia!D$139*0.35)</f>
        <v>0</v>
      </c>
      <c r="F55" s="14" t="n">
        <f aca="false">D6*Proyecto!$C$52*Proyecto!$C$51*MAX(3,Referencia!E$139*0.35)</f>
        <v>0</v>
      </c>
      <c r="G55" s="14" t="n">
        <f aca="false">D6*Proyecto!$C$52*Proyecto!$C$51*MAX(3,Referencia!F$139*0.35)</f>
        <v>0</v>
      </c>
      <c r="H55" s="14" t="n">
        <f aca="false">D6*Proyecto!$C$52*Proyecto!$C$51*MAX(3,Referencia!G$139*0.35)</f>
        <v>0</v>
      </c>
      <c r="I55" s="14" t="n">
        <f aca="false">D6*Proyecto!$C$52*Proyecto!$C$51*MAX(3,Referencia!H$139*0.35)</f>
        <v>0</v>
      </c>
      <c r="J55" s="14" t="n">
        <f aca="false">D6*Proyecto!$C$52*Proyecto!$C$51*MAX(3,Referencia!I$139*0.35)</f>
        <v>0</v>
      </c>
      <c r="K55" s="14" t="n">
        <f aca="false">D6*Proyecto!$C$52*Proyecto!$C$51*MAX(3,Referencia!J$139*0.35)</f>
        <v>0</v>
      </c>
      <c r="L55" s="14" t="n">
        <f aca="false">D6*Proyecto!$C$52*Proyecto!$C$51*MAX(3,Referencia!K$139*0.35)</f>
        <v>0</v>
      </c>
      <c r="M55" s="14" t="n">
        <f aca="false">D6*Proyecto!$C$52*Proyecto!$C$51*MAX(3,Referencia!L$139*0.35)</f>
        <v>0</v>
      </c>
      <c r="N55" s="14" t="n">
        <f aca="false">D6*Proyecto!$C$52*Proyecto!$C$51*MAX(3,Referencia!M$139*0.35)</f>
        <v>0</v>
      </c>
    </row>
    <row r="56" customFormat="false" ht="15" hidden="false" customHeight="false" outlineLevel="0" collapsed="false">
      <c r="C56" s="8" t="s">
        <v>164</v>
      </c>
      <c r="D56" s="14" t="n">
        <f aca="false">IF(Captura_Zonas!P6&lt;=0,D6*Proyecto!$C$54*Proyecto!$C$53*MAX(2,Referencia!C$139*0.25),0)</f>
        <v>0</v>
      </c>
      <c r="E56" s="14" t="n">
        <f aca="false">IF(Captura_Zonas!P6&lt;=0,D6*Proyecto!$C$54*Proyecto!$C$53*MAX(2,Referencia!D$139*0.25),0)</f>
        <v>0</v>
      </c>
      <c r="F56" s="14" t="n">
        <f aca="false">IF(Captura_Zonas!P6&lt;=0,D6*Proyecto!$C$54*Proyecto!$C$53*MAX(2,Referencia!E$139*0.25),0)</f>
        <v>0</v>
      </c>
      <c r="G56" s="14" t="n">
        <f aca="false">IF(Captura_Zonas!P6&lt;=0,D6*Proyecto!$C$54*Proyecto!$C$53*MAX(2,Referencia!F$139*0.25),0)</f>
        <v>0</v>
      </c>
      <c r="H56" s="14" t="n">
        <f aca="false">IF(Captura_Zonas!P6&lt;=0,D6*Proyecto!$C$54*Proyecto!$C$53*MAX(2,Referencia!G$139*0.25),0)</f>
        <v>0</v>
      </c>
      <c r="I56" s="14" t="n">
        <f aca="false">IF(Captura_Zonas!P6&lt;=0,D6*Proyecto!$C$54*Proyecto!$C$53*MAX(2,Referencia!H$139*0.25),0)</f>
        <v>0</v>
      </c>
      <c r="J56" s="14" t="n">
        <f aca="false">IF(Captura_Zonas!P6&lt;=0,D6*Proyecto!$C$54*Proyecto!$C$53*MAX(2,Referencia!I$139*0.25),0)</f>
        <v>0</v>
      </c>
      <c r="K56" s="14" t="n">
        <f aca="false">IF(Captura_Zonas!P6&lt;=0,D6*Proyecto!$C$54*Proyecto!$C$53*MAX(2,Referencia!J$139*0.25),0)</f>
        <v>0</v>
      </c>
      <c r="L56" s="14" t="n">
        <f aca="false">IF(Captura_Zonas!P6&lt;=0,D6*Proyecto!$C$54*Proyecto!$C$53*MAX(2,Referencia!K$139*0.25),0)</f>
        <v>0</v>
      </c>
      <c r="M56" s="14" t="n">
        <f aca="false">IF(Captura_Zonas!P6&lt;=0,D6*Proyecto!$C$54*Proyecto!$C$53*MAX(2,Referencia!L$139*0.25),0)</f>
        <v>0</v>
      </c>
      <c r="N56" s="14" t="n">
        <f aca="false">IF(Captura_Zonas!P6&lt;=0,D6*Proyecto!$C$54*Proyecto!$C$53*MAX(2,Referencia!M$139*0.25),0)</f>
        <v>0</v>
      </c>
    </row>
    <row r="57" customFormat="false" ht="15" hidden="false" customHeight="false" outlineLevel="0" collapsed="false">
      <c r="C57" s="8" t="s">
        <v>165</v>
      </c>
      <c r="D57" s="14" t="n">
        <f aca="false">D38*Proyecto!$C$31*Referencia!C$139</f>
        <v>0</v>
      </c>
      <c r="E57" s="14" t="n">
        <f aca="false">D38*Proyecto!$C$31*Referencia!D$139</f>
        <v>0</v>
      </c>
      <c r="F57" s="14" t="n">
        <f aca="false">D38*Proyecto!$C$31*Referencia!E$139</f>
        <v>0</v>
      </c>
      <c r="G57" s="14" t="n">
        <f aca="false">D38*Proyecto!$C$31*Referencia!F$139</f>
        <v>0</v>
      </c>
      <c r="H57" s="14" t="n">
        <f aca="false">D38*Proyecto!$C$31*Referencia!G$139</f>
        <v>0</v>
      </c>
      <c r="I57" s="14" t="n">
        <f aca="false">D38*Proyecto!$C$31*Referencia!H$139</f>
        <v>0</v>
      </c>
      <c r="J57" s="14" t="n">
        <f aca="false">D38*Proyecto!$C$31*Referencia!I$139</f>
        <v>0</v>
      </c>
      <c r="K57" s="14" t="n">
        <f aca="false">D38*Proyecto!$C$31*Referencia!J$139</f>
        <v>0</v>
      </c>
      <c r="L57" s="14" t="n">
        <f aca="false">D38*Proyecto!$C$31*Referencia!K$139</f>
        <v>0</v>
      </c>
      <c r="M57" s="14" t="n">
        <f aca="false">D38*Proyecto!$C$31*Referencia!L$139</f>
        <v>0</v>
      </c>
      <c r="N57" s="14" t="n">
        <f aca="false">D38*Proyecto!$C$31*Referencia!M$139</f>
        <v>0</v>
      </c>
    </row>
    <row r="58" customFormat="false" ht="15" hidden="false" customHeight="false" outlineLevel="0" collapsed="false">
      <c r="C58" s="8" t="s">
        <v>166</v>
      </c>
      <c r="D58" s="14" t="n">
        <f aca="false">D42*Proyecto!$C$31*Referencia!C$139</f>
        <v>0</v>
      </c>
      <c r="E58" s="14" t="n">
        <f aca="false">D42*Proyecto!$C$31*Referencia!D$139</f>
        <v>0</v>
      </c>
      <c r="F58" s="14" t="n">
        <f aca="false">D42*Proyecto!$C$31*Referencia!E$139</f>
        <v>0</v>
      </c>
      <c r="G58" s="14" t="n">
        <f aca="false">D42*Proyecto!$C$31*Referencia!F$139</f>
        <v>0</v>
      </c>
      <c r="H58" s="14" t="n">
        <f aca="false">D42*Proyecto!$C$31*Referencia!G$139</f>
        <v>0</v>
      </c>
      <c r="I58" s="14" t="n">
        <f aca="false">D42*Proyecto!$C$31*Referencia!H$139</f>
        <v>0</v>
      </c>
      <c r="J58" s="14" t="n">
        <f aca="false">D42*Proyecto!$C$31*Referencia!I$139</f>
        <v>0</v>
      </c>
      <c r="K58" s="14" t="n">
        <f aca="false">D42*Proyecto!$C$31*Referencia!J$139</f>
        <v>0</v>
      </c>
      <c r="L58" s="14" t="n">
        <f aca="false">D42*Proyecto!$C$31*Referencia!K$139</f>
        <v>0</v>
      </c>
      <c r="M58" s="14" t="n">
        <f aca="false">D42*Proyecto!$C$31*Referencia!L$139</f>
        <v>0</v>
      </c>
      <c r="N58" s="14" t="n">
        <f aca="false">D42*Proyecto!$C$31*Referencia!M$139</f>
        <v>0</v>
      </c>
    </row>
    <row r="59" customFormat="false" ht="15" hidden="false" customHeight="false" outlineLevel="0" collapsed="false">
      <c r="C59" s="8" t="s">
        <v>167</v>
      </c>
      <c r="D59" s="14" t="n">
        <f aca="false">D51+D52+D53+D54+D55+D56+$D$34+$D$36+$D$37+D57</f>
        <v>0</v>
      </c>
      <c r="E59" s="14" t="n">
        <f aca="false">E51+E52+E53+E54+E55+E56+$D$34+$D$36+$D$37+E57</f>
        <v>0</v>
      </c>
      <c r="F59" s="14" t="n">
        <f aca="false">F51+F52+F53+F54+F55+F56+$D$34+$D$36+$D$37+F57</f>
        <v>0</v>
      </c>
      <c r="G59" s="14" t="n">
        <f aca="false">G51+G52+G53+G54+G55+G56+$D$34+$D$36+$D$37+G57</f>
        <v>0</v>
      </c>
      <c r="H59" s="14" t="n">
        <f aca="false">H51+H52+H53+H54+H55+H56+$D$34+$D$36+$D$37+H57</f>
        <v>0</v>
      </c>
      <c r="I59" s="14" t="n">
        <f aca="false">I51+I52+I53+I54+I55+I56+$D$34+$D$36+$D$37+I57</f>
        <v>0</v>
      </c>
      <c r="J59" s="14" t="n">
        <f aca="false">J51+J52+J53+J54+J55+J56+$D$34+$D$36+$D$37+J57</f>
        <v>0</v>
      </c>
      <c r="K59" s="14" t="n">
        <f aca="false">K51+K52+K53+K54+K55+K56+$D$34+$D$36+$D$37+K57</f>
        <v>0</v>
      </c>
      <c r="L59" s="14" t="n">
        <f aca="false">L51+L52+L53+L54+L55+L56+$D$34+$D$36+$D$37+L57</f>
        <v>0</v>
      </c>
      <c r="M59" s="14" t="n">
        <f aca="false">M51+M52+M53+M54+M55+M56+$D$34+$D$36+$D$37+M57</f>
        <v>0</v>
      </c>
      <c r="N59" s="14" t="n">
        <f aca="false">N51+N52+N53+N54+N55+N56+$D$34+$D$36+$D$37+N57</f>
        <v>0</v>
      </c>
    </row>
    <row r="60" customFormat="false" ht="15" hidden="false" customHeight="false" outlineLevel="0" collapsed="false">
      <c r="C60" s="8" t="s">
        <v>168</v>
      </c>
      <c r="D60" s="14" t="n">
        <f aca="false">D59*Proyecto!$C$42</f>
        <v>0</v>
      </c>
      <c r="E60" s="14" t="n">
        <f aca="false">E59*Proyecto!$C$42</f>
        <v>0</v>
      </c>
      <c r="F60" s="14" t="n">
        <f aca="false">F59*Proyecto!$C$42</f>
        <v>0</v>
      </c>
      <c r="G60" s="14" t="n">
        <f aca="false">G59*Proyecto!$C$42</f>
        <v>0</v>
      </c>
      <c r="H60" s="14" t="n">
        <f aca="false">H59*Proyecto!$C$42</f>
        <v>0</v>
      </c>
      <c r="I60" s="14" t="n">
        <f aca="false">I59*Proyecto!$C$42</f>
        <v>0</v>
      </c>
      <c r="J60" s="14" t="n">
        <f aca="false">J59*Proyecto!$C$42</f>
        <v>0</v>
      </c>
      <c r="K60" s="14" t="n">
        <f aca="false">K59*Proyecto!$C$42</f>
        <v>0</v>
      </c>
      <c r="L60" s="14" t="n">
        <f aca="false">L59*Proyecto!$C$42</f>
        <v>0</v>
      </c>
      <c r="M60" s="14" t="n">
        <f aca="false">M59*Proyecto!$C$42</f>
        <v>0</v>
      </c>
      <c r="N60" s="14" t="n">
        <f aca="false">N59*Proyecto!$C$42</f>
        <v>0</v>
      </c>
    </row>
    <row r="61" customFormat="false" ht="15" hidden="false" customHeight="false" outlineLevel="0" collapsed="false">
      <c r="C61" s="8" t="s">
        <v>169</v>
      </c>
      <c r="D61" s="14" t="n">
        <f aca="false">D59*Proyecto!$C$43</f>
        <v>0</v>
      </c>
      <c r="E61" s="14" t="n">
        <f aca="false">E59*Proyecto!$C$43</f>
        <v>0</v>
      </c>
      <c r="F61" s="14" t="n">
        <f aca="false">F59*Proyecto!$C$43</f>
        <v>0</v>
      </c>
      <c r="G61" s="14" t="n">
        <f aca="false">G59*Proyecto!$C$43</f>
        <v>0</v>
      </c>
      <c r="H61" s="14" t="n">
        <f aca="false">H59*Proyecto!$C$43</f>
        <v>0</v>
      </c>
      <c r="I61" s="14" t="n">
        <f aca="false">I59*Proyecto!$C$43</f>
        <v>0</v>
      </c>
      <c r="J61" s="14" t="n">
        <f aca="false">J59*Proyecto!$C$43</f>
        <v>0</v>
      </c>
      <c r="K61" s="14" t="n">
        <f aca="false">K59*Proyecto!$C$43</f>
        <v>0</v>
      </c>
      <c r="L61" s="14" t="n">
        <f aca="false">L59*Proyecto!$C$43</f>
        <v>0</v>
      </c>
      <c r="M61" s="14" t="n">
        <f aca="false">M59*Proyecto!$C$43</f>
        <v>0</v>
      </c>
      <c r="N61" s="14" t="n">
        <f aca="false">N59*Proyecto!$C$43</f>
        <v>0</v>
      </c>
    </row>
    <row r="62" customFormat="false" ht="15" hidden="false" customHeight="false" outlineLevel="0" collapsed="false">
      <c r="C62" s="8" t="s">
        <v>170</v>
      </c>
      <c r="D62" s="14" t="n">
        <f aca="false">(D59+D60+D61)*Proyecto!$C$39</f>
        <v>0</v>
      </c>
      <c r="E62" s="14" t="n">
        <f aca="false">(E59+E60+E61)*Proyecto!$C$39</f>
        <v>0</v>
      </c>
      <c r="F62" s="14" t="n">
        <f aca="false">(F59+F60+F61)*Proyecto!$C$39</f>
        <v>0</v>
      </c>
      <c r="G62" s="14" t="n">
        <f aca="false">(G59+G60+G61)*Proyecto!$C$39</f>
        <v>0</v>
      </c>
      <c r="H62" s="14" t="n">
        <f aca="false">(H59+H60+H61)*Proyecto!$C$39</f>
        <v>0</v>
      </c>
      <c r="I62" s="14" t="n">
        <f aca="false">(I59+I60+I61)*Proyecto!$C$39</f>
        <v>0</v>
      </c>
      <c r="J62" s="14" t="n">
        <f aca="false">(J59+J60+J61)*Proyecto!$C$39</f>
        <v>0</v>
      </c>
      <c r="K62" s="14" t="n">
        <f aca="false">(K59+K60+K61)*Proyecto!$C$39</f>
        <v>0</v>
      </c>
      <c r="L62" s="14" t="n">
        <f aca="false">(L59+L60+L61)*Proyecto!$C$39</f>
        <v>0</v>
      </c>
      <c r="M62" s="14" t="n">
        <f aca="false">(M59+M60+M61)*Proyecto!$C$39</f>
        <v>0</v>
      </c>
      <c r="N62" s="14" t="n">
        <f aca="false">(N59+N60+N61)*Proyecto!$C$39</f>
        <v>0</v>
      </c>
    </row>
    <row r="63" customFormat="false" ht="15" hidden="false" customHeight="false" outlineLevel="0" collapsed="false">
      <c r="C63" s="8" t="s">
        <v>171</v>
      </c>
      <c r="D63" s="14" t="n">
        <f aca="false">D59+D60+D61+D62</f>
        <v>0</v>
      </c>
      <c r="E63" s="14" t="n">
        <f aca="false">E59+E60+E61+E62</f>
        <v>0</v>
      </c>
      <c r="F63" s="14" t="n">
        <f aca="false">F59+F60+F61+F62</f>
        <v>0</v>
      </c>
      <c r="G63" s="14" t="n">
        <f aca="false">G59+G60+G61+G62</f>
        <v>0</v>
      </c>
      <c r="H63" s="14" t="n">
        <f aca="false">H59+H60+H61+H62</f>
        <v>0</v>
      </c>
      <c r="I63" s="14" t="n">
        <f aca="false">I59+I60+I61+I62</f>
        <v>0</v>
      </c>
      <c r="J63" s="14" t="n">
        <f aca="false">J59+J60+J61+J62</f>
        <v>0</v>
      </c>
      <c r="K63" s="14" t="n">
        <f aca="false">K59+K60+K61+K62</f>
        <v>0</v>
      </c>
      <c r="L63" s="14" t="n">
        <f aca="false">L59+L60+L61+L62</f>
        <v>0</v>
      </c>
      <c r="M63" s="14" t="n">
        <f aca="false">M59+M60+M61+M62</f>
        <v>0</v>
      </c>
      <c r="N63" s="14" t="n">
        <f aca="false">N59+N60+N61+N62</f>
        <v>0</v>
      </c>
    </row>
    <row r="64" customFormat="false" ht="15" hidden="false" customHeight="false" outlineLevel="0" collapsed="false">
      <c r="C64" s="8" t="s">
        <v>172</v>
      </c>
      <c r="D64" s="14" t="n">
        <f aca="false">D63+D58</f>
        <v>0</v>
      </c>
      <c r="E64" s="14" t="n">
        <f aca="false">E63+E58</f>
        <v>0</v>
      </c>
      <c r="F64" s="14" t="n">
        <f aca="false">F63+F58</f>
        <v>0</v>
      </c>
      <c r="G64" s="14" t="n">
        <f aca="false">G63+G58</f>
        <v>0</v>
      </c>
      <c r="H64" s="14" t="n">
        <f aca="false">H63+H58</f>
        <v>0</v>
      </c>
      <c r="I64" s="14" t="n">
        <f aca="false">I63+I58</f>
        <v>0</v>
      </c>
      <c r="J64" s="14" t="n">
        <f aca="false">J63+J58</f>
        <v>0</v>
      </c>
      <c r="K64" s="14" t="n">
        <f aca="false">K63+K58</f>
        <v>0</v>
      </c>
      <c r="L64" s="14" t="n">
        <f aca="false">L63+L58</f>
        <v>0</v>
      </c>
      <c r="M64" s="14" t="n">
        <f aca="false">M63+M58</f>
        <v>0</v>
      </c>
      <c r="N64" s="14" t="n">
        <f aca="false">N63+N58</f>
        <v>0</v>
      </c>
    </row>
    <row r="65" customFormat="false" ht="15" hidden="false" customHeight="false" outlineLevel="0" collapsed="false">
      <c r="C65" s="38" t="s">
        <v>173</v>
      </c>
      <c r="D65" s="36" t="n">
        <f aca="false">D64+$D$48</f>
        <v>0</v>
      </c>
      <c r="E65" s="36" t="n">
        <f aca="false">E64+$D$48</f>
        <v>0</v>
      </c>
      <c r="F65" s="36" t="n">
        <f aca="false">F64+$D$48</f>
        <v>0</v>
      </c>
      <c r="G65" s="36" t="n">
        <f aca="false">G64+$D$48</f>
        <v>0</v>
      </c>
      <c r="H65" s="36" t="n">
        <f aca="false">H64+$D$48</f>
        <v>0</v>
      </c>
      <c r="I65" s="36" t="n">
        <f aca="false">I64+$D$48</f>
        <v>0</v>
      </c>
      <c r="J65" s="36" t="n">
        <f aca="false">J64+$D$48</f>
        <v>0</v>
      </c>
      <c r="K65" s="36" t="n">
        <f aca="false">K64+$D$48</f>
        <v>0</v>
      </c>
      <c r="L65" s="36" t="n">
        <f aca="false">L64+$D$48</f>
        <v>0</v>
      </c>
      <c r="M65" s="36" t="n">
        <f aca="false">M64+$D$48</f>
        <v>0</v>
      </c>
      <c r="N65" s="36" t="n">
        <f aca="false">N64+$D$48</f>
        <v>0</v>
      </c>
    </row>
    <row r="66" customFormat="false" ht="15" hidden="false" customHeight="false" outlineLevel="0" collapsed="false">
      <c r="C66" s="8" t="s">
        <v>174</v>
      </c>
      <c r="D66" s="15" t="n">
        <f aca="false">D65/Proyecto!$C$48</f>
        <v>0</v>
      </c>
      <c r="E66" s="15" t="n">
        <f aca="false">E65/Proyecto!$C$48</f>
        <v>0</v>
      </c>
      <c r="F66" s="15" t="n">
        <f aca="false">F65/Proyecto!$C$48</f>
        <v>0</v>
      </c>
      <c r="G66" s="15" t="n">
        <f aca="false">G65/Proyecto!$C$48</f>
        <v>0</v>
      </c>
      <c r="H66" s="15" t="n">
        <f aca="false">H65/Proyecto!$C$48</f>
        <v>0</v>
      </c>
      <c r="I66" s="15" t="n">
        <f aca="false">I65/Proyecto!$C$48</f>
        <v>0</v>
      </c>
      <c r="J66" s="15" t="n">
        <f aca="false">J65/Proyecto!$C$48</f>
        <v>0</v>
      </c>
      <c r="K66" s="15" t="n">
        <f aca="false">K65/Proyecto!$C$48</f>
        <v>0</v>
      </c>
      <c r="L66" s="15" t="n">
        <f aca="false">L65/Proyecto!$C$48</f>
        <v>0</v>
      </c>
      <c r="M66" s="15" t="n">
        <f aca="false">M65/Proyecto!$C$48</f>
        <v>0</v>
      </c>
      <c r="N66" s="15" t="n">
        <f aca="false">N65/Proyecto!$C$48</f>
        <v>0</v>
      </c>
    </row>
    <row r="68" customFormat="false" ht="15" hidden="false" customHeight="false" outlineLevel="0" collapsed="false">
      <c r="C68" s="8" t="s">
        <v>175</v>
      </c>
      <c r="D68" s="36" t="n">
        <f aca="false">MAX(D65:N65)</f>
        <v>0</v>
      </c>
    </row>
    <row r="69" customFormat="false" ht="15" hidden="false" customHeight="false" outlineLevel="0" collapsed="false">
      <c r="C69" s="8" t="s">
        <v>176</v>
      </c>
      <c r="D69" s="14" t="n">
        <f aca="false">INDEX(D50:N50,MATCH(D68,D65:N65,0))</f>
        <v>8</v>
      </c>
    </row>
    <row r="70" customFormat="false" ht="15" hidden="false" customHeight="false" outlineLevel="0" collapsed="false">
      <c r="C70" s="8" t="s">
        <v>177</v>
      </c>
      <c r="D70" s="14" t="n">
        <f aca="false">INDEX(D63:N63,MATCH(D68,D65:N65,0))</f>
        <v>0</v>
      </c>
    </row>
    <row r="71" customFormat="false" ht="15" hidden="false" customHeight="false" outlineLevel="0" collapsed="false">
      <c r="C71" s="8" t="s">
        <v>178</v>
      </c>
      <c r="D71" s="14" t="n">
        <f aca="false">INDEX(D64:N64,MATCH(D68,D65:N65,0))</f>
        <v>0</v>
      </c>
    </row>
    <row r="72" customFormat="false" ht="15" hidden="false" customHeight="false" outlineLevel="0" collapsed="false">
      <c r="C72" s="8" t="s">
        <v>179</v>
      </c>
      <c r="D72" s="15" t="n">
        <f aca="false">D68/Proyecto!$C$48</f>
        <v>0</v>
      </c>
    </row>
    <row r="73" customFormat="false" ht="15" hidden="false" customHeight="false" outlineLevel="0" collapsed="false">
      <c r="C73" s="8" t="s">
        <v>180</v>
      </c>
      <c r="D73" s="15" t="n">
        <f aca="false">D68/1000</f>
        <v>0</v>
      </c>
    </row>
    <row r="74" customFormat="false" ht="15" hidden="false" customHeight="false" outlineLevel="0" collapsed="false">
      <c r="C74" s="8" t="s">
        <v>181</v>
      </c>
      <c r="D74" s="14" t="n">
        <f aca="false">(D70/(Proyecto!$C$31*Proyecto!$C$41))/1.699</f>
        <v>0</v>
      </c>
    </row>
    <row r="77" customFormat="false" ht="15" hidden="false" customHeight="false" outlineLevel="0" collapsed="false">
      <c r="C77" s="34" t="str">
        <f aca="false">Captura_Zonas!B7</f>
        <v>Zona 2</v>
      </c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</row>
    <row r="78" customFormat="false" ht="15" hidden="false" customHeight="false" outlineLevel="0" collapsed="false">
      <c r="C78" s="8" t="s">
        <v>61</v>
      </c>
      <c r="D78" s="15" t="n">
        <f aca="false">Captura_Zonas!C7</f>
        <v>0</v>
      </c>
    </row>
    <row r="79" customFormat="false" ht="15" hidden="false" customHeight="false" outlineLevel="0" collapsed="false">
      <c r="C79" s="8" t="s">
        <v>62</v>
      </c>
      <c r="D79" s="15" t="n">
        <f aca="false">MAX(0.1,Captura_Zonas!D7)</f>
        <v>0.1</v>
      </c>
    </row>
    <row r="80" customFormat="false" ht="15" hidden="false" customHeight="false" outlineLevel="0" collapsed="false">
      <c r="C80" s="8" t="s">
        <v>118</v>
      </c>
      <c r="D80" s="13" t="n">
        <f aca="false">D78*D79</f>
        <v>0</v>
      </c>
    </row>
    <row r="81" customFormat="false" ht="15" hidden="false" customHeight="false" outlineLevel="0" collapsed="false">
      <c r="C81" s="8" t="s">
        <v>63</v>
      </c>
      <c r="D81" s="8" t="str">
        <f aca="false">Captura_Zonas!E7</f>
        <v>Oficina</v>
      </c>
    </row>
    <row r="82" customFormat="false" ht="15" hidden="false" customHeight="false" outlineLevel="0" collapsed="false">
      <c r="C82" s="8" t="s">
        <v>119</v>
      </c>
      <c r="D82" s="14" t="n">
        <f aca="false">Captura_Zonas!F7</f>
        <v>16</v>
      </c>
    </row>
    <row r="83" customFormat="false" ht="15" hidden="false" customHeight="false" outlineLevel="0" collapsed="false">
      <c r="C83" s="8" t="s">
        <v>120</v>
      </c>
      <c r="D83" s="13" t="n">
        <f aca="false">INDEX(Referencia!$C$79:$C$88,MATCH(D81,Referencia!$B$79:$B$88,0))</f>
        <v>2.5</v>
      </c>
    </row>
    <row r="84" customFormat="false" ht="15" hidden="false" customHeight="false" outlineLevel="0" collapsed="false">
      <c r="C84" s="8" t="s">
        <v>121</v>
      </c>
      <c r="D84" s="15" t="n">
        <f aca="false">INDEX(Referencia!$D$79:$D$88,MATCH(D81,Referencia!$B$79:$B$88,0))</f>
        <v>0.3</v>
      </c>
    </row>
    <row r="85" customFormat="false" ht="15" hidden="false" customHeight="false" outlineLevel="0" collapsed="false">
      <c r="C85" s="8" t="s">
        <v>122</v>
      </c>
      <c r="D85" s="15" t="n">
        <f aca="false">INDEX(Referencia!$E$79:$E$88,MATCH(D81,Referencia!$B$79:$B$88,0))</f>
        <v>0.9</v>
      </c>
    </row>
    <row r="86" customFormat="false" ht="15" hidden="false" customHeight="false" outlineLevel="0" collapsed="false">
      <c r="C86" s="8" t="s">
        <v>123</v>
      </c>
      <c r="D86" s="15" t="n">
        <f aca="false">INDEX(Referencia!$F$79:$F$88,MATCH(D81,Referencia!$B$79:$B$88,0))</f>
        <v>0.95</v>
      </c>
    </row>
    <row r="87" customFormat="false" ht="15" hidden="false" customHeight="false" outlineLevel="0" collapsed="false">
      <c r="C87" s="8" t="s">
        <v>124</v>
      </c>
      <c r="D87" s="15" t="n">
        <f aca="false">INDEX(Referencia!$G$79:$G$88,MATCH(D81,Referencia!$B$79:$B$88,0))</f>
        <v>0.9</v>
      </c>
    </row>
    <row r="88" customFormat="false" ht="15" hidden="false" customHeight="false" outlineLevel="0" collapsed="false">
      <c r="C88" s="8" t="s">
        <v>125</v>
      </c>
      <c r="D88" s="16" t="n">
        <f aca="false">INDEX(Referencia!$C$15:$C$43,MATCH(Captura_Zonas!G7,Referencia!$B$15:$B$43,0))</f>
        <v>0.849</v>
      </c>
    </row>
    <row r="89" customFormat="false" ht="15" hidden="false" customHeight="false" outlineLevel="0" collapsed="false">
      <c r="C89" s="8" t="s">
        <v>126</v>
      </c>
      <c r="D89" s="14" t="n">
        <f aca="false">INDEX(Referencia!$D$15:$D$43,MATCH(Captura_Zonas!G7,Referencia!$B$15:$B$43,0))</f>
        <v>176</v>
      </c>
    </row>
    <row r="90" customFormat="false" ht="15" hidden="false" customHeight="false" outlineLevel="0" collapsed="false">
      <c r="C90" s="8" t="s">
        <v>127</v>
      </c>
      <c r="D90" s="16" t="n">
        <f aca="false">INDEX(Referencia!$C$47:$C$60,MATCH(Captura_Zonas!Q7,Referencia!$B$47:$B$60,0))</f>
        <v>0.55</v>
      </c>
    </row>
    <row r="91" customFormat="false" ht="15" hidden="false" customHeight="false" outlineLevel="0" collapsed="false">
      <c r="C91" s="8" t="s">
        <v>128</v>
      </c>
      <c r="D91" s="14" t="n">
        <f aca="false">INDEX(Referencia!$D$47:$D$60,MATCH(Captura_Zonas!Q7,Referencia!$B$47:$B$60,0))</f>
        <v>320</v>
      </c>
    </row>
    <row r="92" customFormat="false" ht="15" hidden="false" customHeight="false" outlineLevel="0" collapsed="false">
      <c r="C92" s="8" t="s">
        <v>129</v>
      </c>
      <c r="D92" s="15" t="n">
        <f aca="false">INDEX(Referencia!$C$64:$C$75,MATCH(Captura_Zonas!R7,Referencia!$B$64:$B$75,0))</f>
        <v>2.8</v>
      </c>
    </row>
    <row r="93" customFormat="false" ht="15" hidden="false" customHeight="false" outlineLevel="0" collapsed="false">
      <c r="C93" s="8" t="s">
        <v>130</v>
      </c>
      <c r="D93" s="15" t="n">
        <f aca="false">INDEX(Referencia!$E$64:$E$75,MATCH(Captura_Zonas!R7,Referencia!$B$64:$B$75,0))</f>
        <v>0.7</v>
      </c>
    </row>
    <row r="94" customFormat="false" ht="15" hidden="false" customHeight="false" outlineLevel="0" collapsed="false">
      <c r="C94" s="8" t="s">
        <v>131</v>
      </c>
      <c r="D94" s="13" t="n">
        <f aca="false">IF(D78&gt;0,((Captura_Zonas!H7+Captura_Zonas!I7+Captura_Zonas!J7+Captura_Zonas!K7+Captura_Zonas!L7+Captura_Zonas!M7+Captura_Zonas!N7+Captura_Zonas!O7)*D89+Captura_Zonas!P7*D91+(Captura_Zonas!S7+Captura_Zonas!T7+Captura_Zonas!U7+Captura_Zonas!V7+Captura_Zonas!W7+Captura_Zonas!X7+Captura_Zonas!Y7+Captura_Zonas!Z7)*25)/D78,200)</f>
        <v>200</v>
      </c>
    </row>
    <row r="95" customFormat="false" ht="15" hidden="false" customHeight="false" outlineLevel="0" collapsed="false">
      <c r="C95" s="8" t="s">
        <v>132</v>
      </c>
      <c r="D95" s="8" t="str">
        <f aca="false">IF(D94&lt;150,"Ligera",IF(D94&lt;350,"Media","Pesada"))</f>
        <v>Media</v>
      </c>
    </row>
    <row r="96" customFormat="false" ht="15" hidden="false" customHeight="false" outlineLevel="0" collapsed="false">
      <c r="C96" s="8" t="s">
        <v>133</v>
      </c>
      <c r="D96" s="13" t="n">
        <f aca="false">MAX(0,Captura_Zonas!AG7)</f>
        <v>0</v>
      </c>
    </row>
    <row r="97" customFormat="false" ht="15" hidden="false" customHeight="false" outlineLevel="0" collapsed="false">
      <c r="C97" s="8" t="s">
        <v>134</v>
      </c>
      <c r="D97" s="16" t="n">
        <f aca="false">IF(D96&lt;=0,1,MAX(0.75,1-D96*IF(D95="Pesada",0.04,IF(D95="Media",0.03,0.02))*2.5))</f>
        <v>1</v>
      </c>
    </row>
    <row r="98" customFormat="false" ht="15" hidden="false" customHeight="false" outlineLevel="0" collapsed="false">
      <c r="C98" s="8" t="s">
        <v>135</v>
      </c>
      <c r="D98" s="16" t="n">
        <f aca="false">INDEX(Referencia!$C$92:$E$94,MATCH(D82,Referencia!$B$92:$B$94,0),MATCH(D95,{"Ligera","Media","Pesada"},0))*D97</f>
        <v>0.66</v>
      </c>
    </row>
    <row r="99" customFormat="false" ht="15" hidden="false" customHeight="false" outlineLevel="0" collapsed="false">
      <c r="C99" s="8" t="s">
        <v>136</v>
      </c>
      <c r="D99" s="16" t="n">
        <f aca="false">INDEX(Referencia!$C$98:$E$100,MATCH(D82,Referencia!$B$98:$B$100,0),MATCH(D95,{"Ligera","Media","Pesada"},0))*D97</f>
        <v>0.7</v>
      </c>
    </row>
    <row r="100" customFormat="false" ht="15" hidden="false" customHeight="false" outlineLevel="0" collapsed="false">
      <c r="C100" s="8" t="s">
        <v>137</v>
      </c>
      <c r="D100" s="15" t="n">
        <f aca="false">INDEX(Referencia!$C$104:$C$106,MATCH(D82,Referencia!$B$104:$B$106,0))</f>
        <v>0.9</v>
      </c>
    </row>
    <row r="101" customFormat="false" ht="15" hidden="false" customHeight="false" outlineLevel="0" collapsed="false">
      <c r="C101" s="8" t="s">
        <v>138</v>
      </c>
      <c r="D101" s="15" t="n">
        <f aca="false">INDEX(Referencia!$D$104:$D$106,MATCH(D82,Referencia!$B$104:$B$106,0))</f>
        <v>0.9</v>
      </c>
    </row>
    <row r="102" customFormat="false" ht="15" hidden="false" customHeight="false" outlineLevel="0" collapsed="false">
      <c r="C102" s="8" t="s">
        <v>139</v>
      </c>
      <c r="D102" s="15" t="n">
        <f aca="false">IF(Captura_Zonas!AC7="Fluorescente",1.2,1)</f>
        <v>1</v>
      </c>
    </row>
    <row r="103" customFormat="false" ht="15" hidden="false" customHeight="false" outlineLevel="0" collapsed="false">
      <c r="C103" s="8" t="s">
        <v>140</v>
      </c>
      <c r="D103" s="35" t="b">
        <f aca="false">IF(Captura_Zonas!AF7="Auto",D79&gt;=3.5,Captura_Zonas!AF7="Sí")</f>
        <v>0</v>
      </c>
    </row>
    <row r="104" customFormat="false" ht="15" hidden="false" customHeight="false" outlineLevel="0" collapsed="false">
      <c r="C104" s="8" t="s">
        <v>141</v>
      </c>
      <c r="D104" s="15" t="n">
        <f aca="false">IF(D79&lt;=3.2,1,IF(AND(D103,D79&gt;=4),0.7,IF(D79&gt;=5,0.75,IF(D79&gt;=4,0.85,0.92))))</f>
        <v>1</v>
      </c>
    </row>
    <row r="105" customFormat="false" ht="15" hidden="false" customHeight="false" outlineLevel="0" collapsed="false">
      <c r="C105" s="8" t="s">
        <v>142</v>
      </c>
      <c r="D105" s="14" t="n">
        <f aca="false">MAX(0,ROUND(Captura_Zonas!AA7,0))</f>
        <v>0</v>
      </c>
    </row>
    <row r="106" customFormat="false" ht="15" hidden="false" customHeight="false" outlineLevel="0" collapsed="false">
      <c r="C106" s="8" t="s">
        <v>143</v>
      </c>
      <c r="D106" s="14" t="n">
        <f aca="false">D105*Proyecto!$C$44*D100*D85*Proyecto!$C$38</f>
        <v>0</v>
      </c>
    </row>
    <row r="107" customFormat="false" ht="15" hidden="false" customHeight="false" outlineLevel="0" collapsed="false">
      <c r="C107" s="8" t="s">
        <v>144</v>
      </c>
      <c r="D107" s="14" t="n">
        <f aca="false">D105*Proyecto!$C$45*D85*Proyecto!$C$38</f>
        <v>0</v>
      </c>
    </row>
    <row r="108" customFormat="false" ht="15" hidden="false" customHeight="false" outlineLevel="0" collapsed="false">
      <c r="C108" s="8" t="s">
        <v>145</v>
      </c>
      <c r="D108" s="14" t="n">
        <f aca="false">MAX(0,Captura_Zonas!AB7)*D102*D99*D86*Proyecto!$C$38*D104</f>
        <v>0</v>
      </c>
    </row>
    <row r="109" customFormat="false" ht="15" hidden="false" customHeight="false" outlineLevel="0" collapsed="false">
      <c r="C109" s="8" t="s">
        <v>146</v>
      </c>
      <c r="D109" s="14" t="n">
        <f aca="false">MAX(0,Captura_Zonas!AD7)*D101*D87*Proyecto!$C$38</f>
        <v>0</v>
      </c>
    </row>
    <row r="110" customFormat="false" ht="15" hidden="false" customHeight="false" outlineLevel="0" collapsed="false">
      <c r="C110" s="8" t="s">
        <v>147</v>
      </c>
      <c r="D110" s="14" t="n">
        <f aca="false">D80*MAX(0,Captura_Zonas!AE7)</f>
        <v>0</v>
      </c>
    </row>
    <row r="111" customFormat="false" ht="15" hidden="false" customHeight="false" outlineLevel="0" collapsed="false">
      <c r="C111" s="8" t="s">
        <v>148</v>
      </c>
      <c r="D111" s="14" t="n">
        <f aca="false">(D83*D105+D84*D78)*3.6</f>
        <v>0</v>
      </c>
    </row>
    <row r="112" customFormat="false" ht="15" hidden="false" customHeight="false" outlineLevel="0" collapsed="false">
      <c r="C112" s="8" t="s">
        <v>149</v>
      </c>
      <c r="D112" s="14" t="n">
        <f aca="false">D105*Proyecto!$C$46</f>
        <v>0</v>
      </c>
    </row>
    <row r="113" customFormat="false" ht="15" hidden="false" customHeight="false" outlineLevel="0" collapsed="false">
      <c r="C113" s="8" t="s">
        <v>150</v>
      </c>
      <c r="D113" s="14" t="n">
        <f aca="false">D78*Proyecto!$C$47</f>
        <v>0</v>
      </c>
    </row>
    <row r="114" customFormat="false" ht="15" hidden="false" customHeight="false" outlineLevel="0" collapsed="false">
      <c r="C114" s="8" t="s">
        <v>151</v>
      </c>
      <c r="D114" s="14" t="n">
        <f aca="false">MAX(D111,D112,D113,0)</f>
        <v>0</v>
      </c>
    </row>
    <row r="115" customFormat="false" ht="15" hidden="false" customHeight="false" outlineLevel="0" collapsed="false">
      <c r="C115" s="8" t="s">
        <v>152</v>
      </c>
      <c r="D115" s="14" t="n">
        <f aca="false">D110*Proyecto!$C$32*Referencia!$C$179</f>
        <v>0</v>
      </c>
    </row>
    <row r="116" customFormat="false" ht="15" hidden="false" customHeight="false" outlineLevel="0" collapsed="false">
      <c r="C116" s="8" t="s">
        <v>153</v>
      </c>
      <c r="D116" s="14" t="n">
        <f aca="false">D114*Proyecto!$C$32*Referencia!$C$179</f>
        <v>0</v>
      </c>
    </row>
    <row r="117" customFormat="false" ht="15" hidden="false" customHeight="false" outlineLevel="0" collapsed="false">
      <c r="C117" s="8" t="s">
        <v>154</v>
      </c>
      <c r="D117" s="14" t="n">
        <f aca="false">D107+D115</f>
        <v>0</v>
      </c>
    </row>
    <row r="118" customFormat="false" ht="15" hidden="false" customHeight="false" outlineLevel="0" collapsed="false">
      <c r="C118" s="8" t="s">
        <v>155</v>
      </c>
      <c r="D118" s="14" t="n">
        <f aca="false">D117*Proyecto!$C$39</f>
        <v>0</v>
      </c>
    </row>
    <row r="119" customFormat="false" ht="15" hidden="false" customHeight="false" outlineLevel="0" collapsed="false">
      <c r="C119" s="8" t="s">
        <v>156</v>
      </c>
      <c r="D119" s="14" t="n">
        <f aca="false">D117+D118</f>
        <v>0</v>
      </c>
    </row>
    <row r="120" customFormat="false" ht="15" hidden="false" customHeight="false" outlineLevel="0" collapsed="false">
      <c r="C120" s="8" t="s">
        <v>157</v>
      </c>
      <c r="D120" s="36" t="n">
        <f aca="false">D119+D116</f>
        <v>0</v>
      </c>
    </row>
    <row r="122" customFormat="false" ht="15" hidden="false" customHeight="false" outlineLevel="0" collapsed="false">
      <c r="C122" s="34" t="s">
        <v>158</v>
      </c>
      <c r="D122" s="37" t="n">
        <f aca="false">Referencia!C$132</f>
        <v>8</v>
      </c>
      <c r="E122" s="37" t="n">
        <f aca="false">Referencia!D$132</f>
        <v>9</v>
      </c>
      <c r="F122" s="37" t="n">
        <f aca="false">Referencia!E$132</f>
        <v>10</v>
      </c>
      <c r="G122" s="37" t="n">
        <f aca="false">Referencia!F$132</f>
        <v>11</v>
      </c>
      <c r="H122" s="37" t="n">
        <f aca="false">Referencia!G$132</f>
        <v>12</v>
      </c>
      <c r="I122" s="37" t="n">
        <f aca="false">Referencia!H$132</f>
        <v>13</v>
      </c>
      <c r="J122" s="37" t="n">
        <f aca="false">Referencia!I$132</f>
        <v>14</v>
      </c>
      <c r="K122" s="37" t="n">
        <f aca="false">Referencia!J$132</f>
        <v>15</v>
      </c>
      <c r="L122" s="37" t="n">
        <f aca="false">Referencia!K$132</f>
        <v>16</v>
      </c>
      <c r="M122" s="37" t="n">
        <f aca="false">Referencia!L$132</f>
        <v>17</v>
      </c>
      <c r="N122" s="37" t="n">
        <f aca="false">Referencia!M$132</f>
        <v>18</v>
      </c>
    </row>
    <row r="123" customFormat="false" ht="15" hidden="false" customHeight="false" outlineLevel="0" collapsed="false">
      <c r="C123" s="8" t="s">
        <v>159</v>
      </c>
      <c r="D123" s="14" t="n">
        <f aca="false">D88*SUMPRODUCT(Captura_Zonas!$H$7:$O$7,Referencia!$C$158:$J$158)</f>
        <v>0</v>
      </c>
      <c r="E123" s="14" t="n">
        <f aca="false">D88*SUMPRODUCT(Captura_Zonas!$H$7:$O$7,Referencia!$C$159:$J$159)</f>
        <v>0</v>
      </c>
      <c r="F123" s="14" t="n">
        <f aca="false">D88*SUMPRODUCT(Captura_Zonas!$H$7:$O$7,Referencia!$C$160:$J$160)</f>
        <v>0</v>
      </c>
      <c r="G123" s="14" t="n">
        <f aca="false">D88*SUMPRODUCT(Captura_Zonas!$H$7:$O$7,Referencia!$C$161:$J$161)</f>
        <v>0</v>
      </c>
      <c r="H123" s="14" t="n">
        <f aca="false">D88*SUMPRODUCT(Captura_Zonas!$H$7:$O$7,Referencia!$C$162:$J$162)</f>
        <v>0</v>
      </c>
      <c r="I123" s="14" t="n">
        <f aca="false">D88*SUMPRODUCT(Captura_Zonas!$H$7:$O$7,Referencia!$C$163:$J$163)</f>
        <v>0</v>
      </c>
      <c r="J123" s="14" t="n">
        <f aca="false">D88*SUMPRODUCT(Captura_Zonas!$H$7:$O$7,Referencia!$C$164:$J$164)</f>
        <v>0</v>
      </c>
      <c r="K123" s="14" t="n">
        <f aca="false">D88*SUMPRODUCT(Captura_Zonas!$H$7:$O$7,Referencia!$C$165:$J$165)</f>
        <v>0</v>
      </c>
      <c r="L123" s="14" t="n">
        <f aca="false">D88*SUMPRODUCT(Captura_Zonas!$H$7:$O$7,Referencia!$C$166:$J$166)</f>
        <v>0</v>
      </c>
      <c r="M123" s="14" t="n">
        <f aca="false">D88*SUMPRODUCT(Captura_Zonas!$H$7:$O$7,Referencia!$C$167:$J$167)</f>
        <v>0</v>
      </c>
      <c r="N123" s="14" t="n">
        <f aca="false">D88*SUMPRODUCT(Captura_Zonas!$H$7:$O$7,Referencia!$C$168:$J$168)</f>
        <v>0</v>
      </c>
    </row>
    <row r="124" customFormat="false" ht="15" hidden="false" customHeight="false" outlineLevel="0" collapsed="false">
      <c r="C124" s="8" t="s">
        <v>160</v>
      </c>
      <c r="D124" s="14" t="n">
        <f aca="false">D90*Captura_Zonas!P7*Referencia!C$171</f>
        <v>0</v>
      </c>
      <c r="E124" s="14" t="n">
        <f aca="false">D90*Captura_Zonas!P7*Referencia!D$171</f>
        <v>0</v>
      </c>
      <c r="F124" s="14" t="n">
        <f aca="false">D90*Captura_Zonas!P7*Referencia!E$171</f>
        <v>0</v>
      </c>
      <c r="G124" s="14" t="n">
        <f aca="false">D90*Captura_Zonas!P7*Referencia!F$171</f>
        <v>0</v>
      </c>
      <c r="H124" s="14" t="n">
        <f aca="false">D90*Captura_Zonas!P7*Referencia!G$171</f>
        <v>0</v>
      </c>
      <c r="I124" s="14" t="n">
        <f aca="false">D90*Captura_Zonas!P7*Referencia!H$171</f>
        <v>0</v>
      </c>
      <c r="J124" s="14" t="n">
        <f aca="false">D90*Captura_Zonas!P7*Referencia!I$171</f>
        <v>0</v>
      </c>
      <c r="K124" s="14" t="n">
        <f aca="false">D90*Captura_Zonas!P7*Referencia!J$171</f>
        <v>0</v>
      </c>
      <c r="L124" s="14" t="n">
        <f aca="false">D90*Captura_Zonas!P7*Referencia!K$171</f>
        <v>0</v>
      </c>
      <c r="M124" s="14" t="n">
        <f aca="false">D90*Captura_Zonas!P7*Referencia!L$171</f>
        <v>0</v>
      </c>
      <c r="N124" s="14" t="n">
        <f aca="false">D90*Captura_Zonas!P7*Referencia!M$171</f>
        <v>0</v>
      </c>
    </row>
    <row r="125" customFormat="false" ht="15" hidden="false" customHeight="false" outlineLevel="0" collapsed="false">
      <c r="C125" s="8" t="s">
        <v>161</v>
      </c>
      <c r="D125" s="14" t="n">
        <f aca="false">D92*(Captura_Zonas!S7+Captura_Zonas!T7+Captura_Zonas!U7+Captura_Zonas!V7+Captura_Zonas!W7+Captura_Zonas!X7+Captura_Zonas!Y7+Captura_Zonas!Z7)*Referencia!C$139</f>
        <v>0</v>
      </c>
      <c r="E125" s="14" t="n">
        <f aca="false">D92*(Captura_Zonas!S7+Captura_Zonas!T7+Captura_Zonas!U7+Captura_Zonas!V7+Captura_Zonas!W7+Captura_Zonas!X7+Captura_Zonas!Y7+Captura_Zonas!Z7)*Referencia!D$139</f>
        <v>0</v>
      </c>
      <c r="F125" s="14" t="n">
        <f aca="false">D92*(Captura_Zonas!S7+Captura_Zonas!T7+Captura_Zonas!U7+Captura_Zonas!V7+Captura_Zonas!W7+Captura_Zonas!X7+Captura_Zonas!Y7+Captura_Zonas!Z7)*Referencia!E$139</f>
        <v>0</v>
      </c>
      <c r="G125" s="14" t="n">
        <f aca="false">D92*(Captura_Zonas!S7+Captura_Zonas!T7+Captura_Zonas!U7+Captura_Zonas!V7+Captura_Zonas!W7+Captura_Zonas!X7+Captura_Zonas!Y7+Captura_Zonas!Z7)*Referencia!F$139</f>
        <v>0</v>
      </c>
      <c r="H125" s="14" t="n">
        <f aca="false">D92*(Captura_Zonas!S7+Captura_Zonas!T7+Captura_Zonas!U7+Captura_Zonas!V7+Captura_Zonas!W7+Captura_Zonas!X7+Captura_Zonas!Y7+Captura_Zonas!Z7)*Referencia!G$139</f>
        <v>0</v>
      </c>
      <c r="I125" s="14" t="n">
        <f aca="false">D92*(Captura_Zonas!S7+Captura_Zonas!T7+Captura_Zonas!U7+Captura_Zonas!V7+Captura_Zonas!W7+Captura_Zonas!X7+Captura_Zonas!Y7+Captura_Zonas!Z7)*Referencia!H$139</f>
        <v>0</v>
      </c>
      <c r="J125" s="14" t="n">
        <f aca="false">D92*(Captura_Zonas!S7+Captura_Zonas!T7+Captura_Zonas!U7+Captura_Zonas!V7+Captura_Zonas!W7+Captura_Zonas!X7+Captura_Zonas!Y7+Captura_Zonas!Z7)*Referencia!I$139</f>
        <v>0</v>
      </c>
      <c r="K125" s="14" t="n">
        <f aca="false">D92*(Captura_Zonas!S7+Captura_Zonas!T7+Captura_Zonas!U7+Captura_Zonas!V7+Captura_Zonas!W7+Captura_Zonas!X7+Captura_Zonas!Y7+Captura_Zonas!Z7)*Referencia!J$139</f>
        <v>0</v>
      </c>
      <c r="L125" s="14" t="n">
        <f aca="false">D92*(Captura_Zonas!S7+Captura_Zonas!T7+Captura_Zonas!U7+Captura_Zonas!V7+Captura_Zonas!W7+Captura_Zonas!X7+Captura_Zonas!Y7+Captura_Zonas!Z7)*Referencia!K$139</f>
        <v>0</v>
      </c>
      <c r="M125" s="14" t="n">
        <f aca="false">D92*(Captura_Zonas!S7+Captura_Zonas!T7+Captura_Zonas!U7+Captura_Zonas!V7+Captura_Zonas!W7+Captura_Zonas!X7+Captura_Zonas!Y7+Captura_Zonas!Z7)*Referencia!L$139</f>
        <v>0</v>
      </c>
      <c r="N125" s="14" t="n">
        <f aca="false">D92*(Captura_Zonas!S7+Captura_Zonas!T7+Captura_Zonas!U7+Captura_Zonas!V7+Captura_Zonas!W7+Captura_Zonas!X7+Captura_Zonas!Y7+Captura_Zonas!Z7)*Referencia!M$139</f>
        <v>0</v>
      </c>
    </row>
    <row r="126" customFormat="false" ht="15" hidden="false" customHeight="false" outlineLevel="0" collapsed="false">
      <c r="C126" s="8" t="s">
        <v>162</v>
      </c>
      <c r="D126" s="14" t="n">
        <f aca="false">D93*D98*SUMPRODUCT(Captura_Zonas!$S$7:$Z$7,Referencia!$C$111:$J$111,Referencia!$C$119:$J$119)</f>
        <v>0</v>
      </c>
      <c r="E126" s="14" t="n">
        <f aca="false">D93*D98*SUMPRODUCT(Captura_Zonas!$S$7:$Z$7,Referencia!$C$111:$J$111,Referencia!$C$120:$J$120)</f>
        <v>0</v>
      </c>
      <c r="F126" s="14" t="n">
        <f aca="false">D93*D98*SUMPRODUCT(Captura_Zonas!$S$7:$Z$7,Referencia!$C$111:$J$111,Referencia!$C$121:$J$121)</f>
        <v>0</v>
      </c>
      <c r="G126" s="14" t="n">
        <f aca="false">D93*D98*SUMPRODUCT(Captura_Zonas!$S$7:$Z$7,Referencia!$C$111:$J$111,Referencia!$C$122:$J$122)</f>
        <v>0</v>
      </c>
      <c r="H126" s="14" t="n">
        <f aca="false">D93*D98*SUMPRODUCT(Captura_Zonas!$S$7:$Z$7,Referencia!$C$111:$J$111,Referencia!$C$123:$J$123)</f>
        <v>0</v>
      </c>
      <c r="I126" s="14" t="n">
        <f aca="false">D93*D98*SUMPRODUCT(Captura_Zonas!$S$7:$Z$7,Referencia!$C$111:$J$111,Referencia!$C$124:$J$124)</f>
        <v>0</v>
      </c>
      <c r="J126" s="14" t="n">
        <f aca="false">D93*D98*SUMPRODUCT(Captura_Zonas!$S$7:$Z$7,Referencia!$C$111:$J$111,Referencia!$C$125:$J$125)</f>
        <v>0</v>
      </c>
      <c r="K126" s="14" t="n">
        <f aca="false">D93*D98*SUMPRODUCT(Captura_Zonas!$S$7:$Z$7,Referencia!$C$111:$J$111,Referencia!$C$126:$J$126)</f>
        <v>0</v>
      </c>
      <c r="L126" s="14" t="n">
        <f aca="false">D93*D98*SUMPRODUCT(Captura_Zonas!$S$7:$Z$7,Referencia!$C$111:$J$111,Referencia!$C$127:$J$127)</f>
        <v>0</v>
      </c>
      <c r="M126" s="14" t="n">
        <f aca="false">D93*D98*SUMPRODUCT(Captura_Zonas!$S$7:$Z$7,Referencia!$C$111:$J$111,Referencia!$C$128:$J$128)</f>
        <v>0</v>
      </c>
      <c r="N126" s="14" t="n">
        <f aca="false">D93*D98*SUMPRODUCT(Captura_Zonas!$S$7:$Z$7,Referencia!$C$111:$J$111,Referencia!$C$129:$J$129)</f>
        <v>0</v>
      </c>
    </row>
    <row r="127" customFormat="false" ht="15" hidden="false" customHeight="false" outlineLevel="0" collapsed="false">
      <c r="C127" s="8" t="s">
        <v>163</v>
      </c>
      <c r="D127" s="14" t="n">
        <f aca="false">D78*Proyecto!$C$52*Proyecto!$C$51*MAX(3,Referencia!C$139*0.35)</f>
        <v>0</v>
      </c>
      <c r="E127" s="14" t="n">
        <f aca="false">D78*Proyecto!$C$52*Proyecto!$C$51*MAX(3,Referencia!D$139*0.35)</f>
        <v>0</v>
      </c>
      <c r="F127" s="14" t="n">
        <f aca="false">D78*Proyecto!$C$52*Proyecto!$C$51*MAX(3,Referencia!E$139*0.35)</f>
        <v>0</v>
      </c>
      <c r="G127" s="14" t="n">
        <f aca="false">D78*Proyecto!$C$52*Proyecto!$C$51*MAX(3,Referencia!F$139*0.35)</f>
        <v>0</v>
      </c>
      <c r="H127" s="14" t="n">
        <f aca="false">D78*Proyecto!$C$52*Proyecto!$C$51*MAX(3,Referencia!G$139*0.35)</f>
        <v>0</v>
      </c>
      <c r="I127" s="14" t="n">
        <f aca="false">D78*Proyecto!$C$52*Proyecto!$C$51*MAX(3,Referencia!H$139*0.35)</f>
        <v>0</v>
      </c>
      <c r="J127" s="14" t="n">
        <f aca="false">D78*Proyecto!$C$52*Proyecto!$C$51*MAX(3,Referencia!I$139*0.35)</f>
        <v>0</v>
      </c>
      <c r="K127" s="14" t="n">
        <f aca="false">D78*Proyecto!$C$52*Proyecto!$C$51*MAX(3,Referencia!J$139*0.35)</f>
        <v>0</v>
      </c>
      <c r="L127" s="14" t="n">
        <f aca="false">D78*Proyecto!$C$52*Proyecto!$C$51*MAX(3,Referencia!K$139*0.35)</f>
        <v>0</v>
      </c>
      <c r="M127" s="14" t="n">
        <f aca="false">D78*Proyecto!$C$52*Proyecto!$C$51*MAX(3,Referencia!L$139*0.35)</f>
        <v>0</v>
      </c>
      <c r="N127" s="14" t="n">
        <f aca="false">D78*Proyecto!$C$52*Proyecto!$C$51*MAX(3,Referencia!M$139*0.35)</f>
        <v>0</v>
      </c>
    </row>
    <row r="128" customFormat="false" ht="15" hidden="false" customHeight="false" outlineLevel="0" collapsed="false">
      <c r="C128" s="8" t="s">
        <v>164</v>
      </c>
      <c r="D128" s="14" t="n">
        <f aca="false">IF(Captura_Zonas!P7&lt;=0,D78*Proyecto!$C$54*Proyecto!$C$53*MAX(2,Referencia!C$139*0.25),0)</f>
        <v>0</v>
      </c>
      <c r="E128" s="14" t="n">
        <f aca="false">IF(Captura_Zonas!P7&lt;=0,D78*Proyecto!$C$54*Proyecto!$C$53*MAX(2,Referencia!D$139*0.25),0)</f>
        <v>0</v>
      </c>
      <c r="F128" s="14" t="n">
        <f aca="false">IF(Captura_Zonas!P7&lt;=0,D78*Proyecto!$C$54*Proyecto!$C$53*MAX(2,Referencia!E$139*0.25),0)</f>
        <v>0</v>
      </c>
      <c r="G128" s="14" t="n">
        <f aca="false">IF(Captura_Zonas!P7&lt;=0,D78*Proyecto!$C$54*Proyecto!$C$53*MAX(2,Referencia!F$139*0.25),0)</f>
        <v>0</v>
      </c>
      <c r="H128" s="14" t="n">
        <f aca="false">IF(Captura_Zonas!P7&lt;=0,D78*Proyecto!$C$54*Proyecto!$C$53*MAX(2,Referencia!G$139*0.25),0)</f>
        <v>0</v>
      </c>
      <c r="I128" s="14" t="n">
        <f aca="false">IF(Captura_Zonas!P7&lt;=0,D78*Proyecto!$C$54*Proyecto!$C$53*MAX(2,Referencia!H$139*0.25),0)</f>
        <v>0</v>
      </c>
      <c r="J128" s="14" t="n">
        <f aca="false">IF(Captura_Zonas!P7&lt;=0,D78*Proyecto!$C$54*Proyecto!$C$53*MAX(2,Referencia!I$139*0.25),0)</f>
        <v>0</v>
      </c>
      <c r="K128" s="14" t="n">
        <f aca="false">IF(Captura_Zonas!P7&lt;=0,D78*Proyecto!$C$54*Proyecto!$C$53*MAX(2,Referencia!J$139*0.25),0)</f>
        <v>0</v>
      </c>
      <c r="L128" s="14" t="n">
        <f aca="false">IF(Captura_Zonas!P7&lt;=0,D78*Proyecto!$C$54*Proyecto!$C$53*MAX(2,Referencia!K$139*0.25),0)</f>
        <v>0</v>
      </c>
      <c r="M128" s="14" t="n">
        <f aca="false">IF(Captura_Zonas!P7&lt;=0,D78*Proyecto!$C$54*Proyecto!$C$53*MAX(2,Referencia!L$139*0.25),0)</f>
        <v>0</v>
      </c>
      <c r="N128" s="14" t="n">
        <f aca="false">IF(Captura_Zonas!P7&lt;=0,D78*Proyecto!$C$54*Proyecto!$C$53*MAX(2,Referencia!M$139*0.25),0)</f>
        <v>0</v>
      </c>
    </row>
    <row r="129" customFormat="false" ht="15" hidden="false" customHeight="false" outlineLevel="0" collapsed="false">
      <c r="C129" s="8" t="s">
        <v>165</v>
      </c>
      <c r="D129" s="14" t="n">
        <f aca="false">D110*Proyecto!$C$31*Referencia!C$139</f>
        <v>0</v>
      </c>
      <c r="E129" s="14" t="n">
        <f aca="false">D110*Proyecto!$C$31*Referencia!D$139</f>
        <v>0</v>
      </c>
      <c r="F129" s="14" t="n">
        <f aca="false">D110*Proyecto!$C$31*Referencia!E$139</f>
        <v>0</v>
      </c>
      <c r="G129" s="14" t="n">
        <f aca="false">D110*Proyecto!$C$31*Referencia!F$139</f>
        <v>0</v>
      </c>
      <c r="H129" s="14" t="n">
        <f aca="false">D110*Proyecto!$C$31*Referencia!G$139</f>
        <v>0</v>
      </c>
      <c r="I129" s="14" t="n">
        <f aca="false">D110*Proyecto!$C$31*Referencia!H$139</f>
        <v>0</v>
      </c>
      <c r="J129" s="14" t="n">
        <f aca="false">D110*Proyecto!$C$31*Referencia!I$139</f>
        <v>0</v>
      </c>
      <c r="K129" s="14" t="n">
        <f aca="false">D110*Proyecto!$C$31*Referencia!J$139</f>
        <v>0</v>
      </c>
      <c r="L129" s="14" t="n">
        <f aca="false">D110*Proyecto!$C$31*Referencia!K$139</f>
        <v>0</v>
      </c>
      <c r="M129" s="14" t="n">
        <f aca="false">D110*Proyecto!$C$31*Referencia!L$139</f>
        <v>0</v>
      </c>
      <c r="N129" s="14" t="n">
        <f aca="false">D110*Proyecto!$C$31*Referencia!M$139</f>
        <v>0</v>
      </c>
    </row>
    <row r="130" customFormat="false" ht="15" hidden="false" customHeight="false" outlineLevel="0" collapsed="false">
      <c r="C130" s="8" t="s">
        <v>166</v>
      </c>
      <c r="D130" s="14" t="n">
        <f aca="false">D114*Proyecto!$C$31*Referencia!C$139</f>
        <v>0</v>
      </c>
      <c r="E130" s="14" t="n">
        <f aca="false">D114*Proyecto!$C$31*Referencia!D$139</f>
        <v>0</v>
      </c>
      <c r="F130" s="14" t="n">
        <f aca="false">D114*Proyecto!$C$31*Referencia!E$139</f>
        <v>0</v>
      </c>
      <c r="G130" s="14" t="n">
        <f aca="false">D114*Proyecto!$C$31*Referencia!F$139</f>
        <v>0</v>
      </c>
      <c r="H130" s="14" t="n">
        <f aca="false">D114*Proyecto!$C$31*Referencia!G$139</f>
        <v>0</v>
      </c>
      <c r="I130" s="14" t="n">
        <f aca="false">D114*Proyecto!$C$31*Referencia!H$139</f>
        <v>0</v>
      </c>
      <c r="J130" s="14" t="n">
        <f aca="false">D114*Proyecto!$C$31*Referencia!I$139</f>
        <v>0</v>
      </c>
      <c r="K130" s="14" t="n">
        <f aca="false">D114*Proyecto!$C$31*Referencia!J$139</f>
        <v>0</v>
      </c>
      <c r="L130" s="14" t="n">
        <f aca="false">D114*Proyecto!$C$31*Referencia!K$139</f>
        <v>0</v>
      </c>
      <c r="M130" s="14" t="n">
        <f aca="false">D114*Proyecto!$C$31*Referencia!L$139</f>
        <v>0</v>
      </c>
      <c r="N130" s="14" t="n">
        <f aca="false">D114*Proyecto!$C$31*Referencia!M$139</f>
        <v>0</v>
      </c>
    </row>
    <row r="131" customFormat="false" ht="15" hidden="false" customHeight="false" outlineLevel="0" collapsed="false">
      <c r="C131" s="8" t="s">
        <v>167</v>
      </c>
      <c r="D131" s="14" t="n">
        <f aca="false">D123+D124+D125+D126+D127+D128+$D$106+$D$108+$D$109+D129</f>
        <v>0</v>
      </c>
      <c r="E131" s="14" t="n">
        <f aca="false">E123+E124+E125+E126+E127+E128+$D$106+$D$108+$D$109+E129</f>
        <v>0</v>
      </c>
      <c r="F131" s="14" t="n">
        <f aca="false">F123+F124+F125+F126+F127+F128+$D$106+$D$108+$D$109+F129</f>
        <v>0</v>
      </c>
      <c r="G131" s="14" t="n">
        <f aca="false">G123+G124+G125+G126+G127+G128+$D$106+$D$108+$D$109+G129</f>
        <v>0</v>
      </c>
      <c r="H131" s="14" t="n">
        <f aca="false">H123+H124+H125+H126+H127+H128+$D$106+$D$108+$D$109+H129</f>
        <v>0</v>
      </c>
      <c r="I131" s="14" t="n">
        <f aca="false">I123+I124+I125+I126+I127+I128+$D$106+$D$108+$D$109+I129</f>
        <v>0</v>
      </c>
      <c r="J131" s="14" t="n">
        <f aca="false">J123+J124+J125+J126+J127+J128+$D$106+$D$108+$D$109+J129</f>
        <v>0</v>
      </c>
      <c r="K131" s="14" t="n">
        <f aca="false">K123+K124+K125+K126+K127+K128+$D$106+$D$108+$D$109+K129</f>
        <v>0</v>
      </c>
      <c r="L131" s="14" t="n">
        <f aca="false">L123+L124+L125+L126+L127+L128+$D$106+$D$108+$D$109+L129</f>
        <v>0</v>
      </c>
      <c r="M131" s="14" t="n">
        <f aca="false">M123+M124+M125+M126+M127+M128+$D$106+$D$108+$D$109+M129</f>
        <v>0</v>
      </c>
      <c r="N131" s="14" t="n">
        <f aca="false">N123+N124+N125+N126+N127+N128+$D$106+$D$108+$D$109+N129</f>
        <v>0</v>
      </c>
    </row>
    <row r="132" customFormat="false" ht="15" hidden="false" customHeight="false" outlineLevel="0" collapsed="false">
      <c r="C132" s="8" t="s">
        <v>168</v>
      </c>
      <c r="D132" s="14" t="n">
        <f aca="false">D131*Proyecto!$C$42</f>
        <v>0</v>
      </c>
      <c r="E132" s="14" t="n">
        <f aca="false">E131*Proyecto!$C$42</f>
        <v>0</v>
      </c>
      <c r="F132" s="14" t="n">
        <f aca="false">F131*Proyecto!$C$42</f>
        <v>0</v>
      </c>
      <c r="G132" s="14" t="n">
        <f aca="false">G131*Proyecto!$C$42</f>
        <v>0</v>
      </c>
      <c r="H132" s="14" t="n">
        <f aca="false">H131*Proyecto!$C$42</f>
        <v>0</v>
      </c>
      <c r="I132" s="14" t="n">
        <f aca="false">I131*Proyecto!$C$42</f>
        <v>0</v>
      </c>
      <c r="J132" s="14" t="n">
        <f aca="false">J131*Proyecto!$C$42</f>
        <v>0</v>
      </c>
      <c r="K132" s="14" t="n">
        <f aca="false">K131*Proyecto!$C$42</f>
        <v>0</v>
      </c>
      <c r="L132" s="14" t="n">
        <f aca="false">L131*Proyecto!$C$42</f>
        <v>0</v>
      </c>
      <c r="M132" s="14" t="n">
        <f aca="false">M131*Proyecto!$C$42</f>
        <v>0</v>
      </c>
      <c r="N132" s="14" t="n">
        <f aca="false">N131*Proyecto!$C$42</f>
        <v>0</v>
      </c>
    </row>
    <row r="133" customFormat="false" ht="15" hidden="false" customHeight="false" outlineLevel="0" collapsed="false">
      <c r="C133" s="8" t="s">
        <v>169</v>
      </c>
      <c r="D133" s="14" t="n">
        <f aca="false">D131*Proyecto!$C$43</f>
        <v>0</v>
      </c>
      <c r="E133" s="14" t="n">
        <f aca="false">E131*Proyecto!$C$43</f>
        <v>0</v>
      </c>
      <c r="F133" s="14" t="n">
        <f aca="false">F131*Proyecto!$C$43</f>
        <v>0</v>
      </c>
      <c r="G133" s="14" t="n">
        <f aca="false">G131*Proyecto!$C$43</f>
        <v>0</v>
      </c>
      <c r="H133" s="14" t="n">
        <f aca="false">H131*Proyecto!$C$43</f>
        <v>0</v>
      </c>
      <c r="I133" s="14" t="n">
        <f aca="false">I131*Proyecto!$C$43</f>
        <v>0</v>
      </c>
      <c r="J133" s="14" t="n">
        <f aca="false">J131*Proyecto!$C$43</f>
        <v>0</v>
      </c>
      <c r="K133" s="14" t="n">
        <f aca="false">K131*Proyecto!$C$43</f>
        <v>0</v>
      </c>
      <c r="L133" s="14" t="n">
        <f aca="false">L131*Proyecto!$C$43</f>
        <v>0</v>
      </c>
      <c r="M133" s="14" t="n">
        <f aca="false">M131*Proyecto!$C$43</f>
        <v>0</v>
      </c>
      <c r="N133" s="14" t="n">
        <f aca="false">N131*Proyecto!$C$43</f>
        <v>0</v>
      </c>
    </row>
    <row r="134" customFormat="false" ht="15" hidden="false" customHeight="false" outlineLevel="0" collapsed="false">
      <c r="C134" s="8" t="s">
        <v>170</v>
      </c>
      <c r="D134" s="14" t="n">
        <f aca="false">(D131+D132+D133)*Proyecto!$C$39</f>
        <v>0</v>
      </c>
      <c r="E134" s="14" t="n">
        <f aca="false">(E131+E132+E133)*Proyecto!$C$39</f>
        <v>0</v>
      </c>
      <c r="F134" s="14" t="n">
        <f aca="false">(F131+F132+F133)*Proyecto!$C$39</f>
        <v>0</v>
      </c>
      <c r="G134" s="14" t="n">
        <f aca="false">(G131+G132+G133)*Proyecto!$C$39</f>
        <v>0</v>
      </c>
      <c r="H134" s="14" t="n">
        <f aca="false">(H131+H132+H133)*Proyecto!$C$39</f>
        <v>0</v>
      </c>
      <c r="I134" s="14" t="n">
        <f aca="false">(I131+I132+I133)*Proyecto!$C$39</f>
        <v>0</v>
      </c>
      <c r="J134" s="14" t="n">
        <f aca="false">(J131+J132+J133)*Proyecto!$C$39</f>
        <v>0</v>
      </c>
      <c r="K134" s="14" t="n">
        <f aca="false">(K131+K132+K133)*Proyecto!$C$39</f>
        <v>0</v>
      </c>
      <c r="L134" s="14" t="n">
        <f aca="false">(L131+L132+L133)*Proyecto!$C$39</f>
        <v>0</v>
      </c>
      <c r="M134" s="14" t="n">
        <f aca="false">(M131+M132+M133)*Proyecto!$C$39</f>
        <v>0</v>
      </c>
      <c r="N134" s="14" t="n">
        <f aca="false">(N131+N132+N133)*Proyecto!$C$39</f>
        <v>0</v>
      </c>
    </row>
    <row r="135" customFormat="false" ht="15" hidden="false" customHeight="false" outlineLevel="0" collapsed="false">
      <c r="C135" s="8" t="s">
        <v>171</v>
      </c>
      <c r="D135" s="14" t="n">
        <f aca="false">D131+D132+D133+D134</f>
        <v>0</v>
      </c>
      <c r="E135" s="14" t="n">
        <f aca="false">E131+E132+E133+E134</f>
        <v>0</v>
      </c>
      <c r="F135" s="14" t="n">
        <f aca="false">F131+F132+F133+F134</f>
        <v>0</v>
      </c>
      <c r="G135" s="14" t="n">
        <f aca="false">G131+G132+G133+G134</f>
        <v>0</v>
      </c>
      <c r="H135" s="14" t="n">
        <f aca="false">H131+H132+H133+H134</f>
        <v>0</v>
      </c>
      <c r="I135" s="14" t="n">
        <f aca="false">I131+I132+I133+I134</f>
        <v>0</v>
      </c>
      <c r="J135" s="14" t="n">
        <f aca="false">J131+J132+J133+J134</f>
        <v>0</v>
      </c>
      <c r="K135" s="14" t="n">
        <f aca="false">K131+K132+K133+K134</f>
        <v>0</v>
      </c>
      <c r="L135" s="14" t="n">
        <f aca="false">L131+L132+L133+L134</f>
        <v>0</v>
      </c>
      <c r="M135" s="14" t="n">
        <f aca="false">M131+M132+M133+M134</f>
        <v>0</v>
      </c>
      <c r="N135" s="14" t="n">
        <f aca="false">N131+N132+N133+N134</f>
        <v>0</v>
      </c>
    </row>
    <row r="136" customFormat="false" ht="15" hidden="false" customHeight="false" outlineLevel="0" collapsed="false">
      <c r="C136" s="8" t="s">
        <v>172</v>
      </c>
      <c r="D136" s="14" t="n">
        <f aca="false">D135+D130</f>
        <v>0</v>
      </c>
      <c r="E136" s="14" t="n">
        <f aca="false">E135+E130</f>
        <v>0</v>
      </c>
      <c r="F136" s="14" t="n">
        <f aca="false">F135+F130</f>
        <v>0</v>
      </c>
      <c r="G136" s="14" t="n">
        <f aca="false">G135+G130</f>
        <v>0</v>
      </c>
      <c r="H136" s="14" t="n">
        <f aca="false">H135+H130</f>
        <v>0</v>
      </c>
      <c r="I136" s="14" t="n">
        <f aca="false">I135+I130</f>
        <v>0</v>
      </c>
      <c r="J136" s="14" t="n">
        <f aca="false">J135+J130</f>
        <v>0</v>
      </c>
      <c r="K136" s="14" t="n">
        <f aca="false">K135+K130</f>
        <v>0</v>
      </c>
      <c r="L136" s="14" t="n">
        <f aca="false">L135+L130</f>
        <v>0</v>
      </c>
      <c r="M136" s="14" t="n">
        <f aca="false">M135+M130</f>
        <v>0</v>
      </c>
      <c r="N136" s="14" t="n">
        <f aca="false">N135+N130</f>
        <v>0</v>
      </c>
    </row>
    <row r="137" customFormat="false" ht="15" hidden="false" customHeight="false" outlineLevel="0" collapsed="false">
      <c r="C137" s="38" t="s">
        <v>173</v>
      </c>
      <c r="D137" s="36" t="n">
        <f aca="false">D136+$D$120</f>
        <v>0</v>
      </c>
      <c r="E137" s="36" t="n">
        <f aca="false">E136+$D$120</f>
        <v>0</v>
      </c>
      <c r="F137" s="36" t="n">
        <f aca="false">F136+$D$120</f>
        <v>0</v>
      </c>
      <c r="G137" s="36" t="n">
        <f aca="false">G136+$D$120</f>
        <v>0</v>
      </c>
      <c r="H137" s="36" t="n">
        <f aca="false">H136+$D$120</f>
        <v>0</v>
      </c>
      <c r="I137" s="36" t="n">
        <f aca="false">I136+$D$120</f>
        <v>0</v>
      </c>
      <c r="J137" s="36" t="n">
        <f aca="false">J136+$D$120</f>
        <v>0</v>
      </c>
      <c r="K137" s="36" t="n">
        <f aca="false">K136+$D$120</f>
        <v>0</v>
      </c>
      <c r="L137" s="36" t="n">
        <f aca="false">L136+$D$120</f>
        <v>0</v>
      </c>
      <c r="M137" s="36" t="n">
        <f aca="false">M136+$D$120</f>
        <v>0</v>
      </c>
      <c r="N137" s="36" t="n">
        <f aca="false">N136+$D$120</f>
        <v>0</v>
      </c>
    </row>
    <row r="138" customFormat="false" ht="15" hidden="false" customHeight="false" outlineLevel="0" collapsed="false">
      <c r="C138" s="8" t="s">
        <v>174</v>
      </c>
      <c r="D138" s="15" t="n">
        <f aca="false">D137/Proyecto!$C$48</f>
        <v>0</v>
      </c>
      <c r="E138" s="15" t="n">
        <f aca="false">E137/Proyecto!$C$48</f>
        <v>0</v>
      </c>
      <c r="F138" s="15" t="n">
        <f aca="false">F137/Proyecto!$C$48</f>
        <v>0</v>
      </c>
      <c r="G138" s="15" t="n">
        <f aca="false">G137/Proyecto!$C$48</f>
        <v>0</v>
      </c>
      <c r="H138" s="15" t="n">
        <f aca="false">H137/Proyecto!$C$48</f>
        <v>0</v>
      </c>
      <c r="I138" s="15" t="n">
        <f aca="false">I137/Proyecto!$C$48</f>
        <v>0</v>
      </c>
      <c r="J138" s="15" t="n">
        <f aca="false">J137/Proyecto!$C$48</f>
        <v>0</v>
      </c>
      <c r="K138" s="15" t="n">
        <f aca="false">K137/Proyecto!$C$48</f>
        <v>0</v>
      </c>
      <c r="L138" s="15" t="n">
        <f aca="false">L137/Proyecto!$C$48</f>
        <v>0</v>
      </c>
      <c r="M138" s="15" t="n">
        <f aca="false">M137/Proyecto!$C$48</f>
        <v>0</v>
      </c>
      <c r="N138" s="15" t="n">
        <f aca="false">N137/Proyecto!$C$48</f>
        <v>0</v>
      </c>
    </row>
    <row r="140" customFormat="false" ht="15" hidden="false" customHeight="false" outlineLevel="0" collapsed="false">
      <c r="C140" s="8" t="s">
        <v>175</v>
      </c>
      <c r="D140" s="36" t="n">
        <f aca="false">MAX(D137:N137)</f>
        <v>0</v>
      </c>
    </row>
    <row r="141" customFormat="false" ht="15" hidden="false" customHeight="false" outlineLevel="0" collapsed="false">
      <c r="C141" s="8" t="s">
        <v>176</v>
      </c>
      <c r="D141" s="14" t="n">
        <f aca="false">INDEX(D122:N122,MATCH(D140,D137:N137,0))</f>
        <v>8</v>
      </c>
    </row>
    <row r="142" customFormat="false" ht="15" hidden="false" customHeight="false" outlineLevel="0" collapsed="false">
      <c r="C142" s="8" t="s">
        <v>177</v>
      </c>
      <c r="D142" s="14" t="n">
        <f aca="false">INDEX(D135:N135,MATCH(D140,D137:N137,0))</f>
        <v>0</v>
      </c>
    </row>
    <row r="143" customFormat="false" ht="15" hidden="false" customHeight="false" outlineLevel="0" collapsed="false">
      <c r="C143" s="8" t="s">
        <v>178</v>
      </c>
      <c r="D143" s="14" t="n">
        <f aca="false">INDEX(D136:N136,MATCH(D140,D137:N137,0))</f>
        <v>0</v>
      </c>
    </row>
    <row r="144" customFormat="false" ht="15" hidden="false" customHeight="false" outlineLevel="0" collapsed="false">
      <c r="C144" s="8" t="s">
        <v>179</v>
      </c>
      <c r="D144" s="15" t="n">
        <f aca="false">D140/Proyecto!$C$48</f>
        <v>0</v>
      </c>
    </row>
    <row r="145" customFormat="false" ht="15" hidden="false" customHeight="false" outlineLevel="0" collapsed="false">
      <c r="C145" s="8" t="s">
        <v>180</v>
      </c>
      <c r="D145" s="15" t="n">
        <f aca="false">D140/1000</f>
        <v>0</v>
      </c>
    </row>
    <row r="146" customFormat="false" ht="15" hidden="false" customHeight="false" outlineLevel="0" collapsed="false">
      <c r="C146" s="8" t="s">
        <v>181</v>
      </c>
      <c r="D146" s="14" t="n">
        <f aca="false">(D142/(Proyecto!$C$31*Proyecto!$C$41))/1.699</f>
        <v>0</v>
      </c>
    </row>
    <row r="149" customFormat="false" ht="15" hidden="false" customHeight="false" outlineLevel="0" collapsed="false">
      <c r="C149" s="34" t="str">
        <f aca="false">Captura_Zonas!B8</f>
        <v>Zona 3</v>
      </c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</row>
    <row r="150" customFormat="false" ht="15" hidden="false" customHeight="false" outlineLevel="0" collapsed="false">
      <c r="C150" s="8" t="s">
        <v>61</v>
      </c>
      <c r="D150" s="15" t="n">
        <f aca="false">Captura_Zonas!C8</f>
        <v>0</v>
      </c>
    </row>
    <row r="151" customFormat="false" ht="15" hidden="false" customHeight="false" outlineLevel="0" collapsed="false">
      <c r="C151" s="8" t="s">
        <v>62</v>
      </c>
      <c r="D151" s="15" t="n">
        <f aca="false">MAX(0.1,Captura_Zonas!D8)</f>
        <v>0.1</v>
      </c>
    </row>
    <row r="152" customFormat="false" ht="15" hidden="false" customHeight="false" outlineLevel="0" collapsed="false">
      <c r="C152" s="8" t="s">
        <v>118</v>
      </c>
      <c r="D152" s="13" t="n">
        <f aca="false">D150*D151</f>
        <v>0</v>
      </c>
    </row>
    <row r="153" customFormat="false" ht="15" hidden="false" customHeight="false" outlineLevel="0" collapsed="false">
      <c r="C153" s="8" t="s">
        <v>63</v>
      </c>
      <c r="D153" s="8" t="str">
        <f aca="false">Captura_Zonas!E8</f>
        <v>Oficina</v>
      </c>
    </row>
    <row r="154" customFormat="false" ht="15" hidden="false" customHeight="false" outlineLevel="0" collapsed="false">
      <c r="C154" s="8" t="s">
        <v>119</v>
      </c>
      <c r="D154" s="14" t="n">
        <f aca="false">Captura_Zonas!F8</f>
        <v>16</v>
      </c>
    </row>
    <row r="155" customFormat="false" ht="15" hidden="false" customHeight="false" outlineLevel="0" collapsed="false">
      <c r="C155" s="8" t="s">
        <v>120</v>
      </c>
      <c r="D155" s="13" t="n">
        <f aca="false">INDEX(Referencia!$C$79:$C$88,MATCH(D153,Referencia!$B$79:$B$88,0))</f>
        <v>2.5</v>
      </c>
    </row>
    <row r="156" customFormat="false" ht="15" hidden="false" customHeight="false" outlineLevel="0" collapsed="false">
      <c r="C156" s="8" t="s">
        <v>121</v>
      </c>
      <c r="D156" s="15" t="n">
        <f aca="false">INDEX(Referencia!$D$79:$D$88,MATCH(D153,Referencia!$B$79:$B$88,0))</f>
        <v>0.3</v>
      </c>
    </row>
    <row r="157" customFormat="false" ht="15" hidden="false" customHeight="false" outlineLevel="0" collapsed="false">
      <c r="C157" s="8" t="s">
        <v>122</v>
      </c>
      <c r="D157" s="15" t="n">
        <f aca="false">INDEX(Referencia!$E$79:$E$88,MATCH(D153,Referencia!$B$79:$B$88,0))</f>
        <v>0.9</v>
      </c>
    </row>
    <row r="158" customFormat="false" ht="15" hidden="false" customHeight="false" outlineLevel="0" collapsed="false">
      <c r="C158" s="8" t="s">
        <v>123</v>
      </c>
      <c r="D158" s="15" t="n">
        <f aca="false">INDEX(Referencia!$F$79:$F$88,MATCH(D153,Referencia!$B$79:$B$88,0))</f>
        <v>0.95</v>
      </c>
    </row>
    <row r="159" customFormat="false" ht="15" hidden="false" customHeight="false" outlineLevel="0" collapsed="false">
      <c r="C159" s="8" t="s">
        <v>124</v>
      </c>
      <c r="D159" s="15" t="n">
        <f aca="false">INDEX(Referencia!$G$79:$G$88,MATCH(D153,Referencia!$B$79:$B$88,0))</f>
        <v>0.9</v>
      </c>
    </row>
    <row r="160" customFormat="false" ht="15" hidden="false" customHeight="false" outlineLevel="0" collapsed="false">
      <c r="C160" s="8" t="s">
        <v>125</v>
      </c>
      <c r="D160" s="16" t="n">
        <f aca="false">INDEX(Referencia!$C$15:$C$43,MATCH(Captura_Zonas!G8,Referencia!$B$15:$B$43,0))</f>
        <v>0.849</v>
      </c>
    </row>
    <row r="161" customFormat="false" ht="15" hidden="false" customHeight="false" outlineLevel="0" collapsed="false">
      <c r="C161" s="8" t="s">
        <v>126</v>
      </c>
      <c r="D161" s="14" t="n">
        <f aca="false">INDEX(Referencia!$D$15:$D$43,MATCH(Captura_Zonas!G8,Referencia!$B$15:$B$43,0))</f>
        <v>176</v>
      </c>
    </row>
    <row r="162" customFormat="false" ht="15" hidden="false" customHeight="false" outlineLevel="0" collapsed="false">
      <c r="C162" s="8" t="s">
        <v>127</v>
      </c>
      <c r="D162" s="16" t="n">
        <f aca="false">INDEX(Referencia!$C$47:$C$60,MATCH(Captura_Zonas!Q8,Referencia!$B$47:$B$60,0))</f>
        <v>0.55</v>
      </c>
    </row>
    <row r="163" customFormat="false" ht="15" hidden="false" customHeight="false" outlineLevel="0" collapsed="false">
      <c r="C163" s="8" t="s">
        <v>128</v>
      </c>
      <c r="D163" s="14" t="n">
        <f aca="false">INDEX(Referencia!$D$47:$D$60,MATCH(Captura_Zonas!Q8,Referencia!$B$47:$B$60,0))</f>
        <v>320</v>
      </c>
    </row>
    <row r="164" customFormat="false" ht="15" hidden="false" customHeight="false" outlineLevel="0" collapsed="false">
      <c r="C164" s="8" t="s">
        <v>129</v>
      </c>
      <c r="D164" s="15" t="n">
        <f aca="false">INDEX(Referencia!$C$64:$C$75,MATCH(Captura_Zonas!R8,Referencia!$B$64:$B$75,0))</f>
        <v>2.8</v>
      </c>
    </row>
    <row r="165" customFormat="false" ht="15" hidden="false" customHeight="false" outlineLevel="0" collapsed="false">
      <c r="C165" s="8" t="s">
        <v>130</v>
      </c>
      <c r="D165" s="15" t="n">
        <f aca="false">INDEX(Referencia!$E$64:$E$75,MATCH(Captura_Zonas!R8,Referencia!$B$64:$B$75,0))</f>
        <v>0.7</v>
      </c>
    </row>
    <row r="166" customFormat="false" ht="15" hidden="false" customHeight="false" outlineLevel="0" collapsed="false">
      <c r="C166" s="8" t="s">
        <v>131</v>
      </c>
      <c r="D166" s="13" t="n">
        <f aca="false">IF(D150&gt;0,((Captura_Zonas!H8+Captura_Zonas!I8+Captura_Zonas!J8+Captura_Zonas!K8+Captura_Zonas!L8+Captura_Zonas!M8+Captura_Zonas!N8+Captura_Zonas!O8)*D161+Captura_Zonas!P8*D163+(Captura_Zonas!S8+Captura_Zonas!T8+Captura_Zonas!U8+Captura_Zonas!V8+Captura_Zonas!W8+Captura_Zonas!X8+Captura_Zonas!Y8+Captura_Zonas!Z8)*25)/D150,200)</f>
        <v>200</v>
      </c>
    </row>
    <row r="167" customFormat="false" ht="15" hidden="false" customHeight="false" outlineLevel="0" collapsed="false">
      <c r="C167" s="8" t="s">
        <v>132</v>
      </c>
      <c r="D167" s="8" t="str">
        <f aca="false">IF(D166&lt;150,"Ligera",IF(D166&lt;350,"Media","Pesada"))</f>
        <v>Media</v>
      </c>
    </row>
    <row r="168" customFormat="false" ht="15" hidden="false" customHeight="false" outlineLevel="0" collapsed="false">
      <c r="C168" s="8" t="s">
        <v>133</v>
      </c>
      <c r="D168" s="13" t="n">
        <f aca="false">MAX(0,Captura_Zonas!AG8)</f>
        <v>0</v>
      </c>
    </row>
    <row r="169" customFormat="false" ht="15" hidden="false" customHeight="false" outlineLevel="0" collapsed="false">
      <c r="C169" s="8" t="s">
        <v>134</v>
      </c>
      <c r="D169" s="16" t="n">
        <f aca="false">IF(D168&lt;=0,1,MAX(0.75,1-D168*IF(D167="Pesada",0.04,IF(D167="Media",0.03,0.02))*2.5))</f>
        <v>1</v>
      </c>
    </row>
    <row r="170" customFormat="false" ht="15" hidden="false" customHeight="false" outlineLevel="0" collapsed="false">
      <c r="C170" s="8" t="s">
        <v>135</v>
      </c>
      <c r="D170" s="16" t="n">
        <f aca="false">INDEX(Referencia!$C$92:$E$94,MATCH(D154,Referencia!$B$92:$B$94,0),MATCH(D167,{"Ligera","Media","Pesada"},0))*D169</f>
        <v>0.66</v>
      </c>
    </row>
    <row r="171" customFormat="false" ht="15" hidden="false" customHeight="false" outlineLevel="0" collapsed="false">
      <c r="C171" s="8" t="s">
        <v>136</v>
      </c>
      <c r="D171" s="16" t="n">
        <f aca="false">INDEX(Referencia!$C$98:$E$100,MATCH(D154,Referencia!$B$98:$B$100,0),MATCH(D167,{"Ligera","Media","Pesada"},0))*D169</f>
        <v>0.7</v>
      </c>
    </row>
    <row r="172" customFormat="false" ht="15" hidden="false" customHeight="false" outlineLevel="0" collapsed="false">
      <c r="C172" s="8" t="s">
        <v>137</v>
      </c>
      <c r="D172" s="15" t="n">
        <f aca="false">INDEX(Referencia!$C$104:$C$106,MATCH(D154,Referencia!$B$104:$B$106,0))</f>
        <v>0.9</v>
      </c>
    </row>
    <row r="173" customFormat="false" ht="15" hidden="false" customHeight="false" outlineLevel="0" collapsed="false">
      <c r="C173" s="8" t="s">
        <v>138</v>
      </c>
      <c r="D173" s="15" t="n">
        <f aca="false">INDEX(Referencia!$D$104:$D$106,MATCH(D154,Referencia!$B$104:$B$106,0))</f>
        <v>0.9</v>
      </c>
    </row>
    <row r="174" customFormat="false" ht="15" hidden="false" customHeight="false" outlineLevel="0" collapsed="false">
      <c r="C174" s="8" t="s">
        <v>139</v>
      </c>
      <c r="D174" s="15" t="n">
        <f aca="false">IF(Captura_Zonas!AC8="Fluorescente",1.2,1)</f>
        <v>1</v>
      </c>
    </row>
    <row r="175" customFormat="false" ht="15" hidden="false" customHeight="false" outlineLevel="0" collapsed="false">
      <c r="C175" s="8" t="s">
        <v>140</v>
      </c>
      <c r="D175" s="35" t="b">
        <f aca="false">IF(Captura_Zonas!AF8="Auto",D151&gt;=3.5,Captura_Zonas!AF8="Sí")</f>
        <v>0</v>
      </c>
    </row>
    <row r="176" customFormat="false" ht="15" hidden="false" customHeight="false" outlineLevel="0" collapsed="false">
      <c r="C176" s="8" t="s">
        <v>141</v>
      </c>
      <c r="D176" s="15" t="n">
        <f aca="false">IF(D151&lt;=3.2,1,IF(AND(D175,D151&gt;=4),0.7,IF(D151&gt;=5,0.75,IF(D151&gt;=4,0.85,0.92))))</f>
        <v>1</v>
      </c>
    </row>
    <row r="177" customFormat="false" ht="15" hidden="false" customHeight="false" outlineLevel="0" collapsed="false">
      <c r="C177" s="8" t="s">
        <v>142</v>
      </c>
      <c r="D177" s="14" t="n">
        <f aca="false">MAX(0,ROUND(Captura_Zonas!AA8,0))</f>
        <v>0</v>
      </c>
    </row>
    <row r="178" customFormat="false" ht="15" hidden="false" customHeight="false" outlineLevel="0" collapsed="false">
      <c r="C178" s="8" t="s">
        <v>143</v>
      </c>
      <c r="D178" s="14" t="n">
        <f aca="false">D177*Proyecto!$C$44*D172*D157*Proyecto!$C$38</f>
        <v>0</v>
      </c>
    </row>
    <row r="179" customFormat="false" ht="15" hidden="false" customHeight="false" outlineLevel="0" collapsed="false">
      <c r="C179" s="8" t="s">
        <v>144</v>
      </c>
      <c r="D179" s="14" t="n">
        <f aca="false">D177*Proyecto!$C$45*D157*Proyecto!$C$38</f>
        <v>0</v>
      </c>
    </row>
    <row r="180" customFormat="false" ht="15" hidden="false" customHeight="false" outlineLevel="0" collapsed="false">
      <c r="C180" s="8" t="s">
        <v>145</v>
      </c>
      <c r="D180" s="14" t="n">
        <f aca="false">MAX(0,Captura_Zonas!AB8)*D174*D171*D158*Proyecto!$C$38*D176</f>
        <v>0</v>
      </c>
    </row>
    <row r="181" customFormat="false" ht="15" hidden="false" customHeight="false" outlineLevel="0" collapsed="false">
      <c r="C181" s="8" t="s">
        <v>146</v>
      </c>
      <c r="D181" s="14" t="n">
        <f aca="false">MAX(0,Captura_Zonas!AD8)*D173*D159*Proyecto!$C$38</f>
        <v>0</v>
      </c>
    </row>
    <row r="182" customFormat="false" ht="15" hidden="false" customHeight="false" outlineLevel="0" collapsed="false">
      <c r="C182" s="8" t="s">
        <v>147</v>
      </c>
      <c r="D182" s="14" t="n">
        <f aca="false">D152*MAX(0,Captura_Zonas!AE8)</f>
        <v>0</v>
      </c>
    </row>
    <row r="183" customFormat="false" ht="15" hidden="false" customHeight="false" outlineLevel="0" collapsed="false">
      <c r="C183" s="8" t="s">
        <v>148</v>
      </c>
      <c r="D183" s="14" t="n">
        <f aca="false">(D155*D177+D156*D150)*3.6</f>
        <v>0</v>
      </c>
    </row>
    <row r="184" customFormat="false" ht="15" hidden="false" customHeight="false" outlineLevel="0" collapsed="false">
      <c r="C184" s="8" t="s">
        <v>149</v>
      </c>
      <c r="D184" s="14" t="n">
        <f aca="false">D177*Proyecto!$C$46</f>
        <v>0</v>
      </c>
    </row>
    <row r="185" customFormat="false" ht="15" hidden="false" customHeight="false" outlineLevel="0" collapsed="false">
      <c r="C185" s="8" t="s">
        <v>150</v>
      </c>
      <c r="D185" s="14" t="n">
        <f aca="false">D150*Proyecto!$C$47</f>
        <v>0</v>
      </c>
    </row>
    <row r="186" customFormat="false" ht="15" hidden="false" customHeight="false" outlineLevel="0" collapsed="false">
      <c r="C186" s="8" t="s">
        <v>151</v>
      </c>
      <c r="D186" s="14" t="n">
        <f aca="false">MAX(D183,D184,D185,0)</f>
        <v>0</v>
      </c>
    </row>
    <row r="187" customFormat="false" ht="15" hidden="false" customHeight="false" outlineLevel="0" collapsed="false">
      <c r="C187" s="8" t="s">
        <v>152</v>
      </c>
      <c r="D187" s="14" t="n">
        <f aca="false">D182*Proyecto!$C$32*Referencia!$C$179</f>
        <v>0</v>
      </c>
    </row>
    <row r="188" customFormat="false" ht="15" hidden="false" customHeight="false" outlineLevel="0" collapsed="false">
      <c r="C188" s="8" t="s">
        <v>153</v>
      </c>
      <c r="D188" s="14" t="n">
        <f aca="false">D186*Proyecto!$C$32*Referencia!$C$179</f>
        <v>0</v>
      </c>
    </row>
    <row r="189" customFormat="false" ht="15" hidden="false" customHeight="false" outlineLevel="0" collapsed="false">
      <c r="C189" s="8" t="s">
        <v>154</v>
      </c>
      <c r="D189" s="14" t="n">
        <f aca="false">D179+D187</f>
        <v>0</v>
      </c>
    </row>
    <row r="190" customFormat="false" ht="15" hidden="false" customHeight="false" outlineLevel="0" collapsed="false">
      <c r="C190" s="8" t="s">
        <v>155</v>
      </c>
      <c r="D190" s="14" t="n">
        <f aca="false">D189*Proyecto!$C$39</f>
        <v>0</v>
      </c>
    </row>
    <row r="191" customFormat="false" ht="15" hidden="false" customHeight="false" outlineLevel="0" collapsed="false">
      <c r="C191" s="8" t="s">
        <v>156</v>
      </c>
      <c r="D191" s="14" t="n">
        <f aca="false">D189+D190</f>
        <v>0</v>
      </c>
    </row>
    <row r="192" customFormat="false" ht="15" hidden="false" customHeight="false" outlineLevel="0" collapsed="false">
      <c r="C192" s="8" t="s">
        <v>157</v>
      </c>
      <c r="D192" s="36" t="n">
        <f aca="false">D191+D188</f>
        <v>0</v>
      </c>
    </row>
    <row r="194" customFormat="false" ht="15" hidden="false" customHeight="false" outlineLevel="0" collapsed="false">
      <c r="C194" s="34" t="s">
        <v>158</v>
      </c>
      <c r="D194" s="37" t="n">
        <f aca="false">Referencia!C$132</f>
        <v>8</v>
      </c>
      <c r="E194" s="37" t="n">
        <f aca="false">Referencia!D$132</f>
        <v>9</v>
      </c>
      <c r="F194" s="37" t="n">
        <f aca="false">Referencia!E$132</f>
        <v>10</v>
      </c>
      <c r="G194" s="37" t="n">
        <f aca="false">Referencia!F$132</f>
        <v>11</v>
      </c>
      <c r="H194" s="37" t="n">
        <f aca="false">Referencia!G$132</f>
        <v>12</v>
      </c>
      <c r="I194" s="37" t="n">
        <f aca="false">Referencia!H$132</f>
        <v>13</v>
      </c>
      <c r="J194" s="37" t="n">
        <f aca="false">Referencia!I$132</f>
        <v>14</v>
      </c>
      <c r="K194" s="37" t="n">
        <f aca="false">Referencia!J$132</f>
        <v>15</v>
      </c>
      <c r="L194" s="37" t="n">
        <f aca="false">Referencia!K$132</f>
        <v>16</v>
      </c>
      <c r="M194" s="37" t="n">
        <f aca="false">Referencia!L$132</f>
        <v>17</v>
      </c>
      <c r="N194" s="37" t="n">
        <f aca="false">Referencia!M$132</f>
        <v>18</v>
      </c>
    </row>
    <row r="195" customFormat="false" ht="15" hidden="false" customHeight="false" outlineLevel="0" collapsed="false">
      <c r="C195" s="8" t="s">
        <v>159</v>
      </c>
      <c r="D195" s="14" t="n">
        <f aca="false">D160*SUMPRODUCT(Captura_Zonas!$H$8:$O$8,Referencia!$C$158:$J$158)</f>
        <v>0</v>
      </c>
      <c r="E195" s="14" t="n">
        <f aca="false">D160*SUMPRODUCT(Captura_Zonas!$H$8:$O$8,Referencia!$C$159:$J$159)</f>
        <v>0</v>
      </c>
      <c r="F195" s="14" t="n">
        <f aca="false">D160*SUMPRODUCT(Captura_Zonas!$H$8:$O$8,Referencia!$C$160:$J$160)</f>
        <v>0</v>
      </c>
      <c r="G195" s="14" t="n">
        <f aca="false">D160*SUMPRODUCT(Captura_Zonas!$H$8:$O$8,Referencia!$C$161:$J$161)</f>
        <v>0</v>
      </c>
      <c r="H195" s="14" t="n">
        <f aca="false">D160*SUMPRODUCT(Captura_Zonas!$H$8:$O$8,Referencia!$C$162:$J$162)</f>
        <v>0</v>
      </c>
      <c r="I195" s="14" t="n">
        <f aca="false">D160*SUMPRODUCT(Captura_Zonas!$H$8:$O$8,Referencia!$C$163:$J$163)</f>
        <v>0</v>
      </c>
      <c r="J195" s="14" t="n">
        <f aca="false">D160*SUMPRODUCT(Captura_Zonas!$H$8:$O$8,Referencia!$C$164:$J$164)</f>
        <v>0</v>
      </c>
      <c r="K195" s="14" t="n">
        <f aca="false">D160*SUMPRODUCT(Captura_Zonas!$H$8:$O$8,Referencia!$C$165:$J$165)</f>
        <v>0</v>
      </c>
      <c r="L195" s="14" t="n">
        <f aca="false">D160*SUMPRODUCT(Captura_Zonas!$H$8:$O$8,Referencia!$C$166:$J$166)</f>
        <v>0</v>
      </c>
      <c r="M195" s="14" t="n">
        <f aca="false">D160*SUMPRODUCT(Captura_Zonas!$H$8:$O$8,Referencia!$C$167:$J$167)</f>
        <v>0</v>
      </c>
      <c r="N195" s="14" t="n">
        <f aca="false">D160*SUMPRODUCT(Captura_Zonas!$H$8:$O$8,Referencia!$C$168:$J$168)</f>
        <v>0</v>
      </c>
    </row>
    <row r="196" customFormat="false" ht="15" hidden="false" customHeight="false" outlineLevel="0" collapsed="false">
      <c r="C196" s="8" t="s">
        <v>160</v>
      </c>
      <c r="D196" s="14" t="n">
        <f aca="false">D162*Captura_Zonas!P8*Referencia!C$171</f>
        <v>0</v>
      </c>
      <c r="E196" s="14" t="n">
        <f aca="false">D162*Captura_Zonas!P8*Referencia!D$171</f>
        <v>0</v>
      </c>
      <c r="F196" s="14" t="n">
        <f aca="false">D162*Captura_Zonas!P8*Referencia!E$171</f>
        <v>0</v>
      </c>
      <c r="G196" s="14" t="n">
        <f aca="false">D162*Captura_Zonas!P8*Referencia!F$171</f>
        <v>0</v>
      </c>
      <c r="H196" s="14" t="n">
        <f aca="false">D162*Captura_Zonas!P8*Referencia!G$171</f>
        <v>0</v>
      </c>
      <c r="I196" s="14" t="n">
        <f aca="false">D162*Captura_Zonas!P8*Referencia!H$171</f>
        <v>0</v>
      </c>
      <c r="J196" s="14" t="n">
        <f aca="false">D162*Captura_Zonas!P8*Referencia!I$171</f>
        <v>0</v>
      </c>
      <c r="K196" s="14" t="n">
        <f aca="false">D162*Captura_Zonas!P8*Referencia!J$171</f>
        <v>0</v>
      </c>
      <c r="L196" s="14" t="n">
        <f aca="false">D162*Captura_Zonas!P8*Referencia!K$171</f>
        <v>0</v>
      </c>
      <c r="M196" s="14" t="n">
        <f aca="false">D162*Captura_Zonas!P8*Referencia!L$171</f>
        <v>0</v>
      </c>
      <c r="N196" s="14" t="n">
        <f aca="false">D162*Captura_Zonas!P8*Referencia!M$171</f>
        <v>0</v>
      </c>
    </row>
    <row r="197" customFormat="false" ht="15" hidden="false" customHeight="false" outlineLevel="0" collapsed="false">
      <c r="C197" s="8" t="s">
        <v>161</v>
      </c>
      <c r="D197" s="14" t="n">
        <f aca="false">D164*(Captura_Zonas!S8+Captura_Zonas!T8+Captura_Zonas!U8+Captura_Zonas!V8+Captura_Zonas!W8+Captura_Zonas!X8+Captura_Zonas!Y8+Captura_Zonas!Z8)*Referencia!C$139</f>
        <v>0</v>
      </c>
      <c r="E197" s="14" t="n">
        <f aca="false">D164*(Captura_Zonas!S8+Captura_Zonas!T8+Captura_Zonas!U8+Captura_Zonas!V8+Captura_Zonas!W8+Captura_Zonas!X8+Captura_Zonas!Y8+Captura_Zonas!Z8)*Referencia!D$139</f>
        <v>0</v>
      </c>
      <c r="F197" s="14" t="n">
        <f aca="false">D164*(Captura_Zonas!S8+Captura_Zonas!T8+Captura_Zonas!U8+Captura_Zonas!V8+Captura_Zonas!W8+Captura_Zonas!X8+Captura_Zonas!Y8+Captura_Zonas!Z8)*Referencia!E$139</f>
        <v>0</v>
      </c>
      <c r="G197" s="14" t="n">
        <f aca="false">D164*(Captura_Zonas!S8+Captura_Zonas!T8+Captura_Zonas!U8+Captura_Zonas!V8+Captura_Zonas!W8+Captura_Zonas!X8+Captura_Zonas!Y8+Captura_Zonas!Z8)*Referencia!F$139</f>
        <v>0</v>
      </c>
      <c r="H197" s="14" t="n">
        <f aca="false">D164*(Captura_Zonas!S8+Captura_Zonas!T8+Captura_Zonas!U8+Captura_Zonas!V8+Captura_Zonas!W8+Captura_Zonas!X8+Captura_Zonas!Y8+Captura_Zonas!Z8)*Referencia!G$139</f>
        <v>0</v>
      </c>
      <c r="I197" s="14" t="n">
        <f aca="false">D164*(Captura_Zonas!S8+Captura_Zonas!T8+Captura_Zonas!U8+Captura_Zonas!V8+Captura_Zonas!W8+Captura_Zonas!X8+Captura_Zonas!Y8+Captura_Zonas!Z8)*Referencia!H$139</f>
        <v>0</v>
      </c>
      <c r="J197" s="14" t="n">
        <f aca="false">D164*(Captura_Zonas!S8+Captura_Zonas!T8+Captura_Zonas!U8+Captura_Zonas!V8+Captura_Zonas!W8+Captura_Zonas!X8+Captura_Zonas!Y8+Captura_Zonas!Z8)*Referencia!I$139</f>
        <v>0</v>
      </c>
      <c r="K197" s="14" t="n">
        <f aca="false">D164*(Captura_Zonas!S8+Captura_Zonas!T8+Captura_Zonas!U8+Captura_Zonas!V8+Captura_Zonas!W8+Captura_Zonas!X8+Captura_Zonas!Y8+Captura_Zonas!Z8)*Referencia!J$139</f>
        <v>0</v>
      </c>
      <c r="L197" s="14" t="n">
        <f aca="false">D164*(Captura_Zonas!S8+Captura_Zonas!T8+Captura_Zonas!U8+Captura_Zonas!V8+Captura_Zonas!W8+Captura_Zonas!X8+Captura_Zonas!Y8+Captura_Zonas!Z8)*Referencia!K$139</f>
        <v>0</v>
      </c>
      <c r="M197" s="14" t="n">
        <f aca="false">D164*(Captura_Zonas!S8+Captura_Zonas!T8+Captura_Zonas!U8+Captura_Zonas!V8+Captura_Zonas!W8+Captura_Zonas!X8+Captura_Zonas!Y8+Captura_Zonas!Z8)*Referencia!L$139</f>
        <v>0</v>
      </c>
      <c r="N197" s="14" t="n">
        <f aca="false">D164*(Captura_Zonas!S8+Captura_Zonas!T8+Captura_Zonas!U8+Captura_Zonas!V8+Captura_Zonas!W8+Captura_Zonas!X8+Captura_Zonas!Y8+Captura_Zonas!Z8)*Referencia!M$139</f>
        <v>0</v>
      </c>
    </row>
    <row r="198" customFormat="false" ht="15" hidden="false" customHeight="false" outlineLevel="0" collapsed="false">
      <c r="C198" s="8" t="s">
        <v>162</v>
      </c>
      <c r="D198" s="14" t="n">
        <f aca="false">D165*D170*SUMPRODUCT(Captura_Zonas!$S$8:$Z$8,Referencia!$C$111:$J$111,Referencia!$C$119:$J$119)</f>
        <v>0</v>
      </c>
      <c r="E198" s="14" t="n">
        <f aca="false">D165*D170*SUMPRODUCT(Captura_Zonas!$S$8:$Z$8,Referencia!$C$111:$J$111,Referencia!$C$120:$J$120)</f>
        <v>0</v>
      </c>
      <c r="F198" s="14" t="n">
        <f aca="false">D165*D170*SUMPRODUCT(Captura_Zonas!$S$8:$Z$8,Referencia!$C$111:$J$111,Referencia!$C$121:$J$121)</f>
        <v>0</v>
      </c>
      <c r="G198" s="14" t="n">
        <f aca="false">D165*D170*SUMPRODUCT(Captura_Zonas!$S$8:$Z$8,Referencia!$C$111:$J$111,Referencia!$C$122:$J$122)</f>
        <v>0</v>
      </c>
      <c r="H198" s="14" t="n">
        <f aca="false">D165*D170*SUMPRODUCT(Captura_Zonas!$S$8:$Z$8,Referencia!$C$111:$J$111,Referencia!$C$123:$J$123)</f>
        <v>0</v>
      </c>
      <c r="I198" s="14" t="n">
        <f aca="false">D165*D170*SUMPRODUCT(Captura_Zonas!$S$8:$Z$8,Referencia!$C$111:$J$111,Referencia!$C$124:$J$124)</f>
        <v>0</v>
      </c>
      <c r="J198" s="14" t="n">
        <f aca="false">D165*D170*SUMPRODUCT(Captura_Zonas!$S$8:$Z$8,Referencia!$C$111:$J$111,Referencia!$C$125:$J$125)</f>
        <v>0</v>
      </c>
      <c r="K198" s="14" t="n">
        <f aca="false">D165*D170*SUMPRODUCT(Captura_Zonas!$S$8:$Z$8,Referencia!$C$111:$J$111,Referencia!$C$126:$J$126)</f>
        <v>0</v>
      </c>
      <c r="L198" s="14" t="n">
        <f aca="false">D165*D170*SUMPRODUCT(Captura_Zonas!$S$8:$Z$8,Referencia!$C$111:$J$111,Referencia!$C$127:$J$127)</f>
        <v>0</v>
      </c>
      <c r="M198" s="14" t="n">
        <f aca="false">D165*D170*SUMPRODUCT(Captura_Zonas!$S$8:$Z$8,Referencia!$C$111:$J$111,Referencia!$C$128:$J$128)</f>
        <v>0</v>
      </c>
      <c r="N198" s="14" t="n">
        <f aca="false">D165*D170*SUMPRODUCT(Captura_Zonas!$S$8:$Z$8,Referencia!$C$111:$J$111,Referencia!$C$129:$J$129)</f>
        <v>0</v>
      </c>
    </row>
    <row r="199" customFormat="false" ht="15" hidden="false" customHeight="false" outlineLevel="0" collapsed="false">
      <c r="C199" s="8" t="s">
        <v>163</v>
      </c>
      <c r="D199" s="14" t="n">
        <f aca="false">D150*Proyecto!$C$52*Proyecto!$C$51*MAX(3,Referencia!C$139*0.35)</f>
        <v>0</v>
      </c>
      <c r="E199" s="14" t="n">
        <f aca="false">D150*Proyecto!$C$52*Proyecto!$C$51*MAX(3,Referencia!D$139*0.35)</f>
        <v>0</v>
      </c>
      <c r="F199" s="14" t="n">
        <f aca="false">D150*Proyecto!$C$52*Proyecto!$C$51*MAX(3,Referencia!E$139*0.35)</f>
        <v>0</v>
      </c>
      <c r="G199" s="14" t="n">
        <f aca="false">D150*Proyecto!$C$52*Proyecto!$C$51*MAX(3,Referencia!F$139*0.35)</f>
        <v>0</v>
      </c>
      <c r="H199" s="14" t="n">
        <f aca="false">D150*Proyecto!$C$52*Proyecto!$C$51*MAX(3,Referencia!G$139*0.35)</f>
        <v>0</v>
      </c>
      <c r="I199" s="14" t="n">
        <f aca="false">D150*Proyecto!$C$52*Proyecto!$C$51*MAX(3,Referencia!H$139*0.35)</f>
        <v>0</v>
      </c>
      <c r="J199" s="14" t="n">
        <f aca="false">D150*Proyecto!$C$52*Proyecto!$C$51*MAX(3,Referencia!I$139*0.35)</f>
        <v>0</v>
      </c>
      <c r="K199" s="14" t="n">
        <f aca="false">D150*Proyecto!$C$52*Proyecto!$C$51*MAX(3,Referencia!J$139*0.35)</f>
        <v>0</v>
      </c>
      <c r="L199" s="14" t="n">
        <f aca="false">D150*Proyecto!$C$52*Proyecto!$C$51*MAX(3,Referencia!K$139*0.35)</f>
        <v>0</v>
      </c>
      <c r="M199" s="14" t="n">
        <f aca="false">D150*Proyecto!$C$52*Proyecto!$C$51*MAX(3,Referencia!L$139*0.35)</f>
        <v>0</v>
      </c>
      <c r="N199" s="14" t="n">
        <f aca="false">D150*Proyecto!$C$52*Proyecto!$C$51*MAX(3,Referencia!M$139*0.35)</f>
        <v>0</v>
      </c>
    </row>
    <row r="200" customFormat="false" ht="15" hidden="false" customHeight="false" outlineLevel="0" collapsed="false">
      <c r="C200" s="8" t="s">
        <v>164</v>
      </c>
      <c r="D200" s="14" t="n">
        <f aca="false">IF(Captura_Zonas!P8&lt;=0,D150*Proyecto!$C$54*Proyecto!$C$53*MAX(2,Referencia!C$139*0.25),0)</f>
        <v>0</v>
      </c>
      <c r="E200" s="14" t="n">
        <f aca="false">IF(Captura_Zonas!P8&lt;=0,D150*Proyecto!$C$54*Proyecto!$C$53*MAX(2,Referencia!D$139*0.25),0)</f>
        <v>0</v>
      </c>
      <c r="F200" s="14" t="n">
        <f aca="false">IF(Captura_Zonas!P8&lt;=0,D150*Proyecto!$C$54*Proyecto!$C$53*MAX(2,Referencia!E$139*0.25),0)</f>
        <v>0</v>
      </c>
      <c r="G200" s="14" t="n">
        <f aca="false">IF(Captura_Zonas!P8&lt;=0,D150*Proyecto!$C$54*Proyecto!$C$53*MAX(2,Referencia!F$139*0.25),0)</f>
        <v>0</v>
      </c>
      <c r="H200" s="14" t="n">
        <f aca="false">IF(Captura_Zonas!P8&lt;=0,D150*Proyecto!$C$54*Proyecto!$C$53*MAX(2,Referencia!G$139*0.25),0)</f>
        <v>0</v>
      </c>
      <c r="I200" s="14" t="n">
        <f aca="false">IF(Captura_Zonas!P8&lt;=0,D150*Proyecto!$C$54*Proyecto!$C$53*MAX(2,Referencia!H$139*0.25),0)</f>
        <v>0</v>
      </c>
      <c r="J200" s="14" t="n">
        <f aca="false">IF(Captura_Zonas!P8&lt;=0,D150*Proyecto!$C$54*Proyecto!$C$53*MAX(2,Referencia!I$139*0.25),0)</f>
        <v>0</v>
      </c>
      <c r="K200" s="14" t="n">
        <f aca="false">IF(Captura_Zonas!P8&lt;=0,D150*Proyecto!$C$54*Proyecto!$C$53*MAX(2,Referencia!J$139*0.25),0)</f>
        <v>0</v>
      </c>
      <c r="L200" s="14" t="n">
        <f aca="false">IF(Captura_Zonas!P8&lt;=0,D150*Proyecto!$C$54*Proyecto!$C$53*MAX(2,Referencia!K$139*0.25),0)</f>
        <v>0</v>
      </c>
      <c r="M200" s="14" t="n">
        <f aca="false">IF(Captura_Zonas!P8&lt;=0,D150*Proyecto!$C$54*Proyecto!$C$53*MAX(2,Referencia!L$139*0.25),0)</f>
        <v>0</v>
      </c>
      <c r="N200" s="14" t="n">
        <f aca="false">IF(Captura_Zonas!P8&lt;=0,D150*Proyecto!$C$54*Proyecto!$C$53*MAX(2,Referencia!M$139*0.25),0)</f>
        <v>0</v>
      </c>
    </row>
    <row r="201" customFormat="false" ht="15" hidden="false" customHeight="false" outlineLevel="0" collapsed="false">
      <c r="C201" s="8" t="s">
        <v>165</v>
      </c>
      <c r="D201" s="14" t="n">
        <f aca="false">D182*Proyecto!$C$31*Referencia!C$139</f>
        <v>0</v>
      </c>
      <c r="E201" s="14" t="n">
        <f aca="false">D182*Proyecto!$C$31*Referencia!D$139</f>
        <v>0</v>
      </c>
      <c r="F201" s="14" t="n">
        <f aca="false">D182*Proyecto!$C$31*Referencia!E$139</f>
        <v>0</v>
      </c>
      <c r="G201" s="14" t="n">
        <f aca="false">D182*Proyecto!$C$31*Referencia!F$139</f>
        <v>0</v>
      </c>
      <c r="H201" s="14" t="n">
        <f aca="false">D182*Proyecto!$C$31*Referencia!G$139</f>
        <v>0</v>
      </c>
      <c r="I201" s="14" t="n">
        <f aca="false">D182*Proyecto!$C$31*Referencia!H$139</f>
        <v>0</v>
      </c>
      <c r="J201" s="14" t="n">
        <f aca="false">D182*Proyecto!$C$31*Referencia!I$139</f>
        <v>0</v>
      </c>
      <c r="K201" s="14" t="n">
        <f aca="false">D182*Proyecto!$C$31*Referencia!J$139</f>
        <v>0</v>
      </c>
      <c r="L201" s="14" t="n">
        <f aca="false">D182*Proyecto!$C$31*Referencia!K$139</f>
        <v>0</v>
      </c>
      <c r="M201" s="14" t="n">
        <f aca="false">D182*Proyecto!$C$31*Referencia!L$139</f>
        <v>0</v>
      </c>
      <c r="N201" s="14" t="n">
        <f aca="false">D182*Proyecto!$C$31*Referencia!M$139</f>
        <v>0</v>
      </c>
    </row>
    <row r="202" customFormat="false" ht="15" hidden="false" customHeight="false" outlineLevel="0" collapsed="false">
      <c r="C202" s="8" t="s">
        <v>166</v>
      </c>
      <c r="D202" s="14" t="n">
        <f aca="false">D186*Proyecto!$C$31*Referencia!C$139</f>
        <v>0</v>
      </c>
      <c r="E202" s="14" t="n">
        <f aca="false">D186*Proyecto!$C$31*Referencia!D$139</f>
        <v>0</v>
      </c>
      <c r="F202" s="14" t="n">
        <f aca="false">D186*Proyecto!$C$31*Referencia!E$139</f>
        <v>0</v>
      </c>
      <c r="G202" s="14" t="n">
        <f aca="false">D186*Proyecto!$C$31*Referencia!F$139</f>
        <v>0</v>
      </c>
      <c r="H202" s="14" t="n">
        <f aca="false">D186*Proyecto!$C$31*Referencia!G$139</f>
        <v>0</v>
      </c>
      <c r="I202" s="14" t="n">
        <f aca="false">D186*Proyecto!$C$31*Referencia!H$139</f>
        <v>0</v>
      </c>
      <c r="J202" s="14" t="n">
        <f aca="false">D186*Proyecto!$C$31*Referencia!I$139</f>
        <v>0</v>
      </c>
      <c r="K202" s="14" t="n">
        <f aca="false">D186*Proyecto!$C$31*Referencia!J$139</f>
        <v>0</v>
      </c>
      <c r="L202" s="14" t="n">
        <f aca="false">D186*Proyecto!$C$31*Referencia!K$139</f>
        <v>0</v>
      </c>
      <c r="M202" s="14" t="n">
        <f aca="false">D186*Proyecto!$C$31*Referencia!L$139</f>
        <v>0</v>
      </c>
      <c r="N202" s="14" t="n">
        <f aca="false">D186*Proyecto!$C$31*Referencia!M$139</f>
        <v>0</v>
      </c>
    </row>
    <row r="203" customFormat="false" ht="15" hidden="false" customHeight="false" outlineLevel="0" collapsed="false">
      <c r="C203" s="8" t="s">
        <v>167</v>
      </c>
      <c r="D203" s="14" t="n">
        <f aca="false">D195+D196+D197+D198+D199+D200+$D$178+$D$180+$D$181+D201</f>
        <v>0</v>
      </c>
      <c r="E203" s="14" t="n">
        <f aca="false">E195+E196+E197+E198+E199+E200+$D$178+$D$180+$D$181+E201</f>
        <v>0</v>
      </c>
      <c r="F203" s="14" t="n">
        <f aca="false">F195+F196+F197+F198+F199+F200+$D$178+$D$180+$D$181+F201</f>
        <v>0</v>
      </c>
      <c r="G203" s="14" t="n">
        <f aca="false">G195+G196+G197+G198+G199+G200+$D$178+$D$180+$D$181+G201</f>
        <v>0</v>
      </c>
      <c r="H203" s="14" t="n">
        <f aca="false">H195+H196+H197+H198+H199+H200+$D$178+$D$180+$D$181+H201</f>
        <v>0</v>
      </c>
      <c r="I203" s="14" t="n">
        <f aca="false">I195+I196+I197+I198+I199+I200+$D$178+$D$180+$D$181+I201</f>
        <v>0</v>
      </c>
      <c r="J203" s="14" t="n">
        <f aca="false">J195+J196+J197+J198+J199+J200+$D$178+$D$180+$D$181+J201</f>
        <v>0</v>
      </c>
      <c r="K203" s="14" t="n">
        <f aca="false">K195+K196+K197+K198+K199+K200+$D$178+$D$180+$D$181+K201</f>
        <v>0</v>
      </c>
      <c r="L203" s="14" t="n">
        <f aca="false">L195+L196+L197+L198+L199+L200+$D$178+$D$180+$D$181+L201</f>
        <v>0</v>
      </c>
      <c r="M203" s="14" t="n">
        <f aca="false">M195+M196+M197+M198+M199+M200+$D$178+$D$180+$D$181+M201</f>
        <v>0</v>
      </c>
      <c r="N203" s="14" t="n">
        <f aca="false">N195+N196+N197+N198+N199+N200+$D$178+$D$180+$D$181+N201</f>
        <v>0</v>
      </c>
    </row>
    <row r="204" customFormat="false" ht="15" hidden="false" customHeight="false" outlineLevel="0" collapsed="false">
      <c r="C204" s="8" t="s">
        <v>168</v>
      </c>
      <c r="D204" s="14" t="n">
        <f aca="false">D203*Proyecto!$C$42</f>
        <v>0</v>
      </c>
      <c r="E204" s="14" t="n">
        <f aca="false">E203*Proyecto!$C$42</f>
        <v>0</v>
      </c>
      <c r="F204" s="14" t="n">
        <f aca="false">F203*Proyecto!$C$42</f>
        <v>0</v>
      </c>
      <c r="G204" s="14" t="n">
        <f aca="false">G203*Proyecto!$C$42</f>
        <v>0</v>
      </c>
      <c r="H204" s="14" t="n">
        <f aca="false">H203*Proyecto!$C$42</f>
        <v>0</v>
      </c>
      <c r="I204" s="14" t="n">
        <f aca="false">I203*Proyecto!$C$42</f>
        <v>0</v>
      </c>
      <c r="J204" s="14" t="n">
        <f aca="false">J203*Proyecto!$C$42</f>
        <v>0</v>
      </c>
      <c r="K204" s="14" t="n">
        <f aca="false">K203*Proyecto!$C$42</f>
        <v>0</v>
      </c>
      <c r="L204" s="14" t="n">
        <f aca="false">L203*Proyecto!$C$42</f>
        <v>0</v>
      </c>
      <c r="M204" s="14" t="n">
        <f aca="false">M203*Proyecto!$C$42</f>
        <v>0</v>
      </c>
      <c r="N204" s="14" t="n">
        <f aca="false">N203*Proyecto!$C$42</f>
        <v>0</v>
      </c>
    </row>
    <row r="205" customFormat="false" ht="15" hidden="false" customHeight="false" outlineLevel="0" collapsed="false">
      <c r="C205" s="8" t="s">
        <v>169</v>
      </c>
      <c r="D205" s="14" t="n">
        <f aca="false">D203*Proyecto!$C$43</f>
        <v>0</v>
      </c>
      <c r="E205" s="14" t="n">
        <f aca="false">E203*Proyecto!$C$43</f>
        <v>0</v>
      </c>
      <c r="F205" s="14" t="n">
        <f aca="false">F203*Proyecto!$C$43</f>
        <v>0</v>
      </c>
      <c r="G205" s="14" t="n">
        <f aca="false">G203*Proyecto!$C$43</f>
        <v>0</v>
      </c>
      <c r="H205" s="14" t="n">
        <f aca="false">H203*Proyecto!$C$43</f>
        <v>0</v>
      </c>
      <c r="I205" s="14" t="n">
        <f aca="false">I203*Proyecto!$C$43</f>
        <v>0</v>
      </c>
      <c r="J205" s="14" t="n">
        <f aca="false">J203*Proyecto!$C$43</f>
        <v>0</v>
      </c>
      <c r="K205" s="14" t="n">
        <f aca="false">K203*Proyecto!$C$43</f>
        <v>0</v>
      </c>
      <c r="L205" s="14" t="n">
        <f aca="false">L203*Proyecto!$C$43</f>
        <v>0</v>
      </c>
      <c r="M205" s="14" t="n">
        <f aca="false">M203*Proyecto!$C$43</f>
        <v>0</v>
      </c>
      <c r="N205" s="14" t="n">
        <f aca="false">N203*Proyecto!$C$43</f>
        <v>0</v>
      </c>
    </row>
    <row r="206" customFormat="false" ht="15" hidden="false" customHeight="false" outlineLevel="0" collapsed="false">
      <c r="C206" s="8" t="s">
        <v>170</v>
      </c>
      <c r="D206" s="14" t="n">
        <f aca="false">(D203+D204+D205)*Proyecto!$C$39</f>
        <v>0</v>
      </c>
      <c r="E206" s="14" t="n">
        <f aca="false">(E203+E204+E205)*Proyecto!$C$39</f>
        <v>0</v>
      </c>
      <c r="F206" s="14" t="n">
        <f aca="false">(F203+F204+F205)*Proyecto!$C$39</f>
        <v>0</v>
      </c>
      <c r="G206" s="14" t="n">
        <f aca="false">(G203+G204+G205)*Proyecto!$C$39</f>
        <v>0</v>
      </c>
      <c r="H206" s="14" t="n">
        <f aca="false">(H203+H204+H205)*Proyecto!$C$39</f>
        <v>0</v>
      </c>
      <c r="I206" s="14" t="n">
        <f aca="false">(I203+I204+I205)*Proyecto!$C$39</f>
        <v>0</v>
      </c>
      <c r="J206" s="14" t="n">
        <f aca="false">(J203+J204+J205)*Proyecto!$C$39</f>
        <v>0</v>
      </c>
      <c r="K206" s="14" t="n">
        <f aca="false">(K203+K204+K205)*Proyecto!$C$39</f>
        <v>0</v>
      </c>
      <c r="L206" s="14" t="n">
        <f aca="false">(L203+L204+L205)*Proyecto!$C$39</f>
        <v>0</v>
      </c>
      <c r="M206" s="14" t="n">
        <f aca="false">(M203+M204+M205)*Proyecto!$C$39</f>
        <v>0</v>
      </c>
      <c r="N206" s="14" t="n">
        <f aca="false">(N203+N204+N205)*Proyecto!$C$39</f>
        <v>0</v>
      </c>
    </row>
    <row r="207" customFormat="false" ht="15" hidden="false" customHeight="false" outlineLevel="0" collapsed="false">
      <c r="C207" s="8" t="s">
        <v>171</v>
      </c>
      <c r="D207" s="14" t="n">
        <f aca="false">D203+D204+D205+D206</f>
        <v>0</v>
      </c>
      <c r="E207" s="14" t="n">
        <f aca="false">E203+E204+E205+E206</f>
        <v>0</v>
      </c>
      <c r="F207" s="14" t="n">
        <f aca="false">F203+F204+F205+F206</f>
        <v>0</v>
      </c>
      <c r="G207" s="14" t="n">
        <f aca="false">G203+G204+G205+G206</f>
        <v>0</v>
      </c>
      <c r="H207" s="14" t="n">
        <f aca="false">H203+H204+H205+H206</f>
        <v>0</v>
      </c>
      <c r="I207" s="14" t="n">
        <f aca="false">I203+I204+I205+I206</f>
        <v>0</v>
      </c>
      <c r="J207" s="14" t="n">
        <f aca="false">J203+J204+J205+J206</f>
        <v>0</v>
      </c>
      <c r="K207" s="14" t="n">
        <f aca="false">K203+K204+K205+K206</f>
        <v>0</v>
      </c>
      <c r="L207" s="14" t="n">
        <f aca="false">L203+L204+L205+L206</f>
        <v>0</v>
      </c>
      <c r="M207" s="14" t="n">
        <f aca="false">M203+M204+M205+M206</f>
        <v>0</v>
      </c>
      <c r="N207" s="14" t="n">
        <f aca="false">N203+N204+N205+N206</f>
        <v>0</v>
      </c>
    </row>
    <row r="208" customFormat="false" ht="15" hidden="false" customHeight="false" outlineLevel="0" collapsed="false">
      <c r="C208" s="8" t="s">
        <v>172</v>
      </c>
      <c r="D208" s="14" t="n">
        <f aca="false">D207+D202</f>
        <v>0</v>
      </c>
      <c r="E208" s="14" t="n">
        <f aca="false">E207+E202</f>
        <v>0</v>
      </c>
      <c r="F208" s="14" t="n">
        <f aca="false">F207+F202</f>
        <v>0</v>
      </c>
      <c r="G208" s="14" t="n">
        <f aca="false">G207+G202</f>
        <v>0</v>
      </c>
      <c r="H208" s="14" t="n">
        <f aca="false">H207+H202</f>
        <v>0</v>
      </c>
      <c r="I208" s="14" t="n">
        <f aca="false">I207+I202</f>
        <v>0</v>
      </c>
      <c r="J208" s="14" t="n">
        <f aca="false">J207+J202</f>
        <v>0</v>
      </c>
      <c r="K208" s="14" t="n">
        <f aca="false">K207+K202</f>
        <v>0</v>
      </c>
      <c r="L208" s="14" t="n">
        <f aca="false">L207+L202</f>
        <v>0</v>
      </c>
      <c r="M208" s="14" t="n">
        <f aca="false">M207+M202</f>
        <v>0</v>
      </c>
      <c r="N208" s="14" t="n">
        <f aca="false">N207+N202</f>
        <v>0</v>
      </c>
    </row>
    <row r="209" customFormat="false" ht="15" hidden="false" customHeight="false" outlineLevel="0" collapsed="false">
      <c r="C209" s="38" t="s">
        <v>173</v>
      </c>
      <c r="D209" s="36" t="n">
        <f aca="false">D208+$D$192</f>
        <v>0</v>
      </c>
      <c r="E209" s="36" t="n">
        <f aca="false">E208+$D$192</f>
        <v>0</v>
      </c>
      <c r="F209" s="36" t="n">
        <f aca="false">F208+$D$192</f>
        <v>0</v>
      </c>
      <c r="G209" s="36" t="n">
        <f aca="false">G208+$D$192</f>
        <v>0</v>
      </c>
      <c r="H209" s="36" t="n">
        <f aca="false">H208+$D$192</f>
        <v>0</v>
      </c>
      <c r="I209" s="36" t="n">
        <f aca="false">I208+$D$192</f>
        <v>0</v>
      </c>
      <c r="J209" s="36" t="n">
        <f aca="false">J208+$D$192</f>
        <v>0</v>
      </c>
      <c r="K209" s="36" t="n">
        <f aca="false">K208+$D$192</f>
        <v>0</v>
      </c>
      <c r="L209" s="36" t="n">
        <f aca="false">L208+$D$192</f>
        <v>0</v>
      </c>
      <c r="M209" s="36" t="n">
        <f aca="false">M208+$D$192</f>
        <v>0</v>
      </c>
      <c r="N209" s="36" t="n">
        <f aca="false">N208+$D$192</f>
        <v>0</v>
      </c>
    </row>
    <row r="210" customFormat="false" ht="15" hidden="false" customHeight="false" outlineLevel="0" collapsed="false">
      <c r="C210" s="8" t="s">
        <v>174</v>
      </c>
      <c r="D210" s="15" t="n">
        <f aca="false">D209/Proyecto!$C$48</f>
        <v>0</v>
      </c>
      <c r="E210" s="15" t="n">
        <f aca="false">E209/Proyecto!$C$48</f>
        <v>0</v>
      </c>
      <c r="F210" s="15" t="n">
        <f aca="false">F209/Proyecto!$C$48</f>
        <v>0</v>
      </c>
      <c r="G210" s="15" t="n">
        <f aca="false">G209/Proyecto!$C$48</f>
        <v>0</v>
      </c>
      <c r="H210" s="15" t="n">
        <f aca="false">H209/Proyecto!$C$48</f>
        <v>0</v>
      </c>
      <c r="I210" s="15" t="n">
        <f aca="false">I209/Proyecto!$C$48</f>
        <v>0</v>
      </c>
      <c r="J210" s="15" t="n">
        <f aca="false">J209/Proyecto!$C$48</f>
        <v>0</v>
      </c>
      <c r="K210" s="15" t="n">
        <f aca="false">K209/Proyecto!$C$48</f>
        <v>0</v>
      </c>
      <c r="L210" s="15" t="n">
        <f aca="false">L209/Proyecto!$C$48</f>
        <v>0</v>
      </c>
      <c r="M210" s="15" t="n">
        <f aca="false">M209/Proyecto!$C$48</f>
        <v>0</v>
      </c>
      <c r="N210" s="15" t="n">
        <f aca="false">N209/Proyecto!$C$48</f>
        <v>0</v>
      </c>
    </row>
    <row r="212" customFormat="false" ht="15" hidden="false" customHeight="false" outlineLevel="0" collapsed="false">
      <c r="C212" s="8" t="s">
        <v>175</v>
      </c>
      <c r="D212" s="36" t="n">
        <f aca="false">MAX(D209:N209)</f>
        <v>0</v>
      </c>
    </row>
    <row r="213" customFormat="false" ht="15" hidden="false" customHeight="false" outlineLevel="0" collapsed="false">
      <c r="C213" s="8" t="s">
        <v>176</v>
      </c>
      <c r="D213" s="14" t="n">
        <f aca="false">INDEX(D194:N194,MATCH(D212,D209:N209,0))</f>
        <v>8</v>
      </c>
    </row>
    <row r="214" customFormat="false" ht="15" hidden="false" customHeight="false" outlineLevel="0" collapsed="false">
      <c r="C214" s="8" t="s">
        <v>177</v>
      </c>
      <c r="D214" s="14" t="n">
        <f aca="false">INDEX(D207:N207,MATCH(D212,D209:N209,0))</f>
        <v>0</v>
      </c>
    </row>
    <row r="215" customFormat="false" ht="15" hidden="false" customHeight="false" outlineLevel="0" collapsed="false">
      <c r="C215" s="8" t="s">
        <v>178</v>
      </c>
      <c r="D215" s="14" t="n">
        <f aca="false">INDEX(D208:N208,MATCH(D212,D209:N209,0))</f>
        <v>0</v>
      </c>
    </row>
    <row r="216" customFormat="false" ht="15" hidden="false" customHeight="false" outlineLevel="0" collapsed="false">
      <c r="C216" s="8" t="s">
        <v>179</v>
      </c>
      <c r="D216" s="15" t="n">
        <f aca="false">D212/Proyecto!$C$48</f>
        <v>0</v>
      </c>
    </row>
    <row r="217" customFormat="false" ht="15" hidden="false" customHeight="false" outlineLevel="0" collapsed="false">
      <c r="C217" s="8" t="s">
        <v>180</v>
      </c>
      <c r="D217" s="15" t="n">
        <f aca="false">D212/1000</f>
        <v>0</v>
      </c>
    </row>
    <row r="218" customFormat="false" ht="15" hidden="false" customHeight="false" outlineLevel="0" collapsed="false">
      <c r="C218" s="8" t="s">
        <v>181</v>
      </c>
      <c r="D218" s="14" t="n">
        <f aca="false">(D214/(Proyecto!$C$31*Proyecto!$C$41))/1.699</f>
        <v>0</v>
      </c>
    </row>
    <row r="221" customFormat="false" ht="15" hidden="false" customHeight="false" outlineLevel="0" collapsed="false">
      <c r="C221" s="34" t="str">
        <f aca="false">Captura_Zonas!B9</f>
        <v>Zona 4</v>
      </c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</row>
    <row r="222" customFormat="false" ht="15" hidden="false" customHeight="false" outlineLevel="0" collapsed="false">
      <c r="C222" s="8" t="s">
        <v>61</v>
      </c>
      <c r="D222" s="15" t="n">
        <f aca="false">Captura_Zonas!C9</f>
        <v>0</v>
      </c>
    </row>
    <row r="223" customFormat="false" ht="15" hidden="false" customHeight="false" outlineLevel="0" collapsed="false">
      <c r="C223" s="8" t="s">
        <v>62</v>
      </c>
      <c r="D223" s="15" t="n">
        <f aca="false">MAX(0.1,Captura_Zonas!D9)</f>
        <v>0.1</v>
      </c>
    </row>
    <row r="224" customFormat="false" ht="15" hidden="false" customHeight="false" outlineLevel="0" collapsed="false">
      <c r="C224" s="8" t="s">
        <v>118</v>
      </c>
      <c r="D224" s="13" t="n">
        <f aca="false">D222*D223</f>
        <v>0</v>
      </c>
    </row>
    <row r="225" customFormat="false" ht="15" hidden="false" customHeight="false" outlineLevel="0" collapsed="false">
      <c r="C225" s="8" t="s">
        <v>63</v>
      </c>
      <c r="D225" s="8" t="str">
        <f aca="false">Captura_Zonas!E9</f>
        <v>Oficina</v>
      </c>
    </row>
    <row r="226" customFormat="false" ht="15" hidden="false" customHeight="false" outlineLevel="0" collapsed="false">
      <c r="C226" s="8" t="s">
        <v>119</v>
      </c>
      <c r="D226" s="14" t="n">
        <f aca="false">Captura_Zonas!F9</f>
        <v>16</v>
      </c>
    </row>
    <row r="227" customFormat="false" ht="15" hidden="false" customHeight="false" outlineLevel="0" collapsed="false">
      <c r="C227" s="8" t="s">
        <v>120</v>
      </c>
      <c r="D227" s="13" t="n">
        <f aca="false">INDEX(Referencia!$C$79:$C$88,MATCH(D225,Referencia!$B$79:$B$88,0))</f>
        <v>2.5</v>
      </c>
    </row>
    <row r="228" customFormat="false" ht="15" hidden="false" customHeight="false" outlineLevel="0" collapsed="false">
      <c r="C228" s="8" t="s">
        <v>121</v>
      </c>
      <c r="D228" s="15" t="n">
        <f aca="false">INDEX(Referencia!$D$79:$D$88,MATCH(D225,Referencia!$B$79:$B$88,0))</f>
        <v>0.3</v>
      </c>
    </row>
    <row r="229" customFormat="false" ht="15" hidden="false" customHeight="false" outlineLevel="0" collapsed="false">
      <c r="C229" s="8" t="s">
        <v>122</v>
      </c>
      <c r="D229" s="15" t="n">
        <f aca="false">INDEX(Referencia!$E$79:$E$88,MATCH(D225,Referencia!$B$79:$B$88,0))</f>
        <v>0.9</v>
      </c>
    </row>
    <row r="230" customFormat="false" ht="15" hidden="false" customHeight="false" outlineLevel="0" collapsed="false">
      <c r="C230" s="8" t="s">
        <v>123</v>
      </c>
      <c r="D230" s="15" t="n">
        <f aca="false">INDEX(Referencia!$F$79:$F$88,MATCH(D225,Referencia!$B$79:$B$88,0))</f>
        <v>0.95</v>
      </c>
    </row>
    <row r="231" customFormat="false" ht="15" hidden="false" customHeight="false" outlineLevel="0" collapsed="false">
      <c r="C231" s="8" t="s">
        <v>124</v>
      </c>
      <c r="D231" s="15" t="n">
        <f aca="false">INDEX(Referencia!$G$79:$G$88,MATCH(D225,Referencia!$B$79:$B$88,0))</f>
        <v>0.9</v>
      </c>
    </row>
    <row r="232" customFormat="false" ht="15" hidden="false" customHeight="false" outlineLevel="0" collapsed="false">
      <c r="C232" s="8" t="s">
        <v>125</v>
      </c>
      <c r="D232" s="16" t="n">
        <f aca="false">INDEX(Referencia!$C$15:$C$43,MATCH(Captura_Zonas!G9,Referencia!$B$15:$B$43,0))</f>
        <v>0.849</v>
      </c>
    </row>
    <row r="233" customFormat="false" ht="15" hidden="false" customHeight="false" outlineLevel="0" collapsed="false">
      <c r="C233" s="8" t="s">
        <v>126</v>
      </c>
      <c r="D233" s="14" t="n">
        <f aca="false">INDEX(Referencia!$D$15:$D$43,MATCH(Captura_Zonas!G9,Referencia!$B$15:$B$43,0))</f>
        <v>176</v>
      </c>
    </row>
    <row r="234" customFormat="false" ht="15" hidden="false" customHeight="false" outlineLevel="0" collapsed="false">
      <c r="C234" s="8" t="s">
        <v>127</v>
      </c>
      <c r="D234" s="16" t="n">
        <f aca="false">INDEX(Referencia!$C$47:$C$60,MATCH(Captura_Zonas!Q9,Referencia!$B$47:$B$60,0))</f>
        <v>0.55</v>
      </c>
    </row>
    <row r="235" customFormat="false" ht="15" hidden="false" customHeight="false" outlineLevel="0" collapsed="false">
      <c r="C235" s="8" t="s">
        <v>128</v>
      </c>
      <c r="D235" s="14" t="n">
        <f aca="false">INDEX(Referencia!$D$47:$D$60,MATCH(Captura_Zonas!Q9,Referencia!$B$47:$B$60,0))</f>
        <v>320</v>
      </c>
    </row>
    <row r="236" customFormat="false" ht="15" hidden="false" customHeight="false" outlineLevel="0" collapsed="false">
      <c r="C236" s="8" t="s">
        <v>129</v>
      </c>
      <c r="D236" s="15" t="n">
        <f aca="false">INDEX(Referencia!$C$64:$C$75,MATCH(Captura_Zonas!R9,Referencia!$B$64:$B$75,0))</f>
        <v>2.8</v>
      </c>
    </row>
    <row r="237" customFormat="false" ht="15" hidden="false" customHeight="false" outlineLevel="0" collapsed="false">
      <c r="C237" s="8" t="s">
        <v>130</v>
      </c>
      <c r="D237" s="15" t="n">
        <f aca="false">INDEX(Referencia!$E$64:$E$75,MATCH(Captura_Zonas!R9,Referencia!$B$64:$B$75,0))</f>
        <v>0.7</v>
      </c>
    </row>
    <row r="238" customFormat="false" ht="15" hidden="false" customHeight="false" outlineLevel="0" collapsed="false">
      <c r="C238" s="8" t="s">
        <v>131</v>
      </c>
      <c r="D238" s="13" t="n">
        <f aca="false">IF(D222&gt;0,((Captura_Zonas!H9+Captura_Zonas!I9+Captura_Zonas!J9+Captura_Zonas!K9+Captura_Zonas!L9+Captura_Zonas!M9+Captura_Zonas!N9+Captura_Zonas!O9)*D233+Captura_Zonas!P9*D235+(Captura_Zonas!S9+Captura_Zonas!T9+Captura_Zonas!U9+Captura_Zonas!V9+Captura_Zonas!W9+Captura_Zonas!X9+Captura_Zonas!Y9+Captura_Zonas!Z9)*25)/D222,200)</f>
        <v>200</v>
      </c>
    </row>
    <row r="239" customFormat="false" ht="15" hidden="false" customHeight="false" outlineLevel="0" collapsed="false">
      <c r="C239" s="8" t="s">
        <v>132</v>
      </c>
      <c r="D239" s="8" t="str">
        <f aca="false">IF(D238&lt;150,"Ligera",IF(D238&lt;350,"Media","Pesada"))</f>
        <v>Media</v>
      </c>
    </row>
    <row r="240" customFormat="false" ht="15" hidden="false" customHeight="false" outlineLevel="0" collapsed="false">
      <c r="C240" s="8" t="s">
        <v>133</v>
      </c>
      <c r="D240" s="13" t="n">
        <f aca="false">MAX(0,Captura_Zonas!AG9)</f>
        <v>0</v>
      </c>
    </row>
    <row r="241" customFormat="false" ht="15" hidden="false" customHeight="false" outlineLevel="0" collapsed="false">
      <c r="C241" s="8" t="s">
        <v>134</v>
      </c>
      <c r="D241" s="16" t="n">
        <f aca="false">IF(D240&lt;=0,1,MAX(0.75,1-D240*IF(D239="Pesada",0.04,IF(D239="Media",0.03,0.02))*2.5))</f>
        <v>1</v>
      </c>
    </row>
    <row r="242" customFormat="false" ht="15" hidden="false" customHeight="false" outlineLevel="0" collapsed="false">
      <c r="C242" s="8" t="s">
        <v>135</v>
      </c>
      <c r="D242" s="16" t="n">
        <f aca="false">INDEX(Referencia!$C$92:$E$94,MATCH(D226,Referencia!$B$92:$B$94,0),MATCH(D239,{"Ligera","Media","Pesada"},0))*D241</f>
        <v>0.66</v>
      </c>
    </row>
    <row r="243" customFormat="false" ht="15" hidden="false" customHeight="false" outlineLevel="0" collapsed="false">
      <c r="C243" s="8" t="s">
        <v>136</v>
      </c>
      <c r="D243" s="16" t="n">
        <f aca="false">INDEX(Referencia!$C$98:$E$100,MATCH(D226,Referencia!$B$98:$B$100,0),MATCH(D239,{"Ligera","Media","Pesada"},0))*D241</f>
        <v>0.7</v>
      </c>
    </row>
    <row r="244" customFormat="false" ht="15" hidden="false" customHeight="false" outlineLevel="0" collapsed="false">
      <c r="C244" s="8" t="s">
        <v>137</v>
      </c>
      <c r="D244" s="15" t="n">
        <f aca="false">INDEX(Referencia!$C$104:$C$106,MATCH(D226,Referencia!$B$104:$B$106,0))</f>
        <v>0.9</v>
      </c>
    </row>
    <row r="245" customFormat="false" ht="15" hidden="false" customHeight="false" outlineLevel="0" collapsed="false">
      <c r="C245" s="8" t="s">
        <v>138</v>
      </c>
      <c r="D245" s="15" t="n">
        <f aca="false">INDEX(Referencia!$D$104:$D$106,MATCH(D226,Referencia!$B$104:$B$106,0))</f>
        <v>0.9</v>
      </c>
    </row>
    <row r="246" customFormat="false" ht="15" hidden="false" customHeight="false" outlineLevel="0" collapsed="false">
      <c r="C246" s="8" t="s">
        <v>139</v>
      </c>
      <c r="D246" s="15" t="n">
        <f aca="false">IF(Captura_Zonas!AC9="Fluorescente",1.2,1)</f>
        <v>1</v>
      </c>
    </row>
    <row r="247" customFormat="false" ht="15" hidden="false" customHeight="false" outlineLevel="0" collapsed="false">
      <c r="C247" s="8" t="s">
        <v>140</v>
      </c>
      <c r="D247" s="35" t="b">
        <f aca="false">IF(Captura_Zonas!AF9="Auto",D223&gt;=3.5,Captura_Zonas!AF9="Sí")</f>
        <v>0</v>
      </c>
    </row>
    <row r="248" customFormat="false" ht="15" hidden="false" customHeight="false" outlineLevel="0" collapsed="false">
      <c r="C248" s="8" t="s">
        <v>141</v>
      </c>
      <c r="D248" s="15" t="n">
        <f aca="false">IF(D223&lt;=3.2,1,IF(AND(D247,D223&gt;=4),0.7,IF(D223&gt;=5,0.75,IF(D223&gt;=4,0.85,0.92))))</f>
        <v>1</v>
      </c>
    </row>
    <row r="249" customFormat="false" ht="15" hidden="false" customHeight="false" outlineLevel="0" collapsed="false">
      <c r="C249" s="8" t="s">
        <v>142</v>
      </c>
      <c r="D249" s="14" t="n">
        <f aca="false">MAX(0,ROUND(Captura_Zonas!AA9,0))</f>
        <v>0</v>
      </c>
    </row>
    <row r="250" customFormat="false" ht="15" hidden="false" customHeight="false" outlineLevel="0" collapsed="false">
      <c r="C250" s="8" t="s">
        <v>143</v>
      </c>
      <c r="D250" s="14" t="n">
        <f aca="false">D249*Proyecto!$C$44*D244*D229*Proyecto!$C$38</f>
        <v>0</v>
      </c>
    </row>
    <row r="251" customFormat="false" ht="15" hidden="false" customHeight="false" outlineLevel="0" collapsed="false">
      <c r="C251" s="8" t="s">
        <v>144</v>
      </c>
      <c r="D251" s="14" t="n">
        <f aca="false">D249*Proyecto!$C$45*D229*Proyecto!$C$38</f>
        <v>0</v>
      </c>
    </row>
    <row r="252" customFormat="false" ht="15" hidden="false" customHeight="false" outlineLevel="0" collapsed="false">
      <c r="C252" s="8" t="s">
        <v>145</v>
      </c>
      <c r="D252" s="14" t="n">
        <f aca="false">MAX(0,Captura_Zonas!AB9)*D246*D243*D230*Proyecto!$C$38*D248</f>
        <v>0</v>
      </c>
    </row>
    <row r="253" customFormat="false" ht="15" hidden="false" customHeight="false" outlineLevel="0" collapsed="false">
      <c r="C253" s="8" t="s">
        <v>146</v>
      </c>
      <c r="D253" s="14" t="n">
        <f aca="false">MAX(0,Captura_Zonas!AD9)*D245*D231*Proyecto!$C$38</f>
        <v>0</v>
      </c>
    </row>
    <row r="254" customFormat="false" ht="15" hidden="false" customHeight="false" outlineLevel="0" collapsed="false">
      <c r="C254" s="8" t="s">
        <v>147</v>
      </c>
      <c r="D254" s="14" t="n">
        <f aca="false">D224*MAX(0,Captura_Zonas!AE9)</f>
        <v>0</v>
      </c>
    </row>
    <row r="255" customFormat="false" ht="15" hidden="false" customHeight="false" outlineLevel="0" collapsed="false">
      <c r="C255" s="8" t="s">
        <v>148</v>
      </c>
      <c r="D255" s="14" t="n">
        <f aca="false">(D227*D249+D228*D222)*3.6</f>
        <v>0</v>
      </c>
    </row>
    <row r="256" customFormat="false" ht="15" hidden="false" customHeight="false" outlineLevel="0" collapsed="false">
      <c r="C256" s="8" t="s">
        <v>149</v>
      </c>
      <c r="D256" s="14" t="n">
        <f aca="false">D249*Proyecto!$C$46</f>
        <v>0</v>
      </c>
    </row>
    <row r="257" customFormat="false" ht="15" hidden="false" customHeight="false" outlineLevel="0" collapsed="false">
      <c r="C257" s="8" t="s">
        <v>150</v>
      </c>
      <c r="D257" s="14" t="n">
        <f aca="false">D222*Proyecto!$C$47</f>
        <v>0</v>
      </c>
    </row>
    <row r="258" customFormat="false" ht="15" hidden="false" customHeight="false" outlineLevel="0" collapsed="false">
      <c r="C258" s="8" t="s">
        <v>151</v>
      </c>
      <c r="D258" s="14" t="n">
        <f aca="false">MAX(D255,D256,D257,0)</f>
        <v>0</v>
      </c>
    </row>
    <row r="259" customFormat="false" ht="15" hidden="false" customHeight="false" outlineLevel="0" collapsed="false">
      <c r="C259" s="8" t="s">
        <v>152</v>
      </c>
      <c r="D259" s="14" t="n">
        <f aca="false">D254*Proyecto!$C$32*Referencia!$C$179</f>
        <v>0</v>
      </c>
    </row>
    <row r="260" customFormat="false" ht="15" hidden="false" customHeight="false" outlineLevel="0" collapsed="false">
      <c r="C260" s="8" t="s">
        <v>153</v>
      </c>
      <c r="D260" s="14" t="n">
        <f aca="false">D258*Proyecto!$C$32*Referencia!$C$179</f>
        <v>0</v>
      </c>
    </row>
    <row r="261" customFormat="false" ht="15" hidden="false" customHeight="false" outlineLevel="0" collapsed="false">
      <c r="C261" s="8" t="s">
        <v>154</v>
      </c>
      <c r="D261" s="14" t="n">
        <f aca="false">D251+D259</f>
        <v>0</v>
      </c>
    </row>
    <row r="262" customFormat="false" ht="15" hidden="false" customHeight="false" outlineLevel="0" collapsed="false">
      <c r="C262" s="8" t="s">
        <v>155</v>
      </c>
      <c r="D262" s="14" t="n">
        <f aca="false">D261*Proyecto!$C$39</f>
        <v>0</v>
      </c>
    </row>
    <row r="263" customFormat="false" ht="15" hidden="false" customHeight="false" outlineLevel="0" collapsed="false">
      <c r="C263" s="8" t="s">
        <v>156</v>
      </c>
      <c r="D263" s="14" t="n">
        <f aca="false">D261+D262</f>
        <v>0</v>
      </c>
    </row>
    <row r="264" customFormat="false" ht="15" hidden="false" customHeight="false" outlineLevel="0" collapsed="false">
      <c r="C264" s="8" t="s">
        <v>157</v>
      </c>
      <c r="D264" s="36" t="n">
        <f aca="false">D263+D260</f>
        <v>0</v>
      </c>
    </row>
    <row r="266" customFormat="false" ht="15" hidden="false" customHeight="false" outlineLevel="0" collapsed="false">
      <c r="C266" s="34" t="s">
        <v>158</v>
      </c>
      <c r="D266" s="37" t="n">
        <f aca="false">Referencia!C$132</f>
        <v>8</v>
      </c>
      <c r="E266" s="37" t="n">
        <f aca="false">Referencia!D$132</f>
        <v>9</v>
      </c>
      <c r="F266" s="37" t="n">
        <f aca="false">Referencia!E$132</f>
        <v>10</v>
      </c>
      <c r="G266" s="37" t="n">
        <f aca="false">Referencia!F$132</f>
        <v>11</v>
      </c>
      <c r="H266" s="37" t="n">
        <f aca="false">Referencia!G$132</f>
        <v>12</v>
      </c>
      <c r="I266" s="37" t="n">
        <f aca="false">Referencia!H$132</f>
        <v>13</v>
      </c>
      <c r="J266" s="37" t="n">
        <f aca="false">Referencia!I$132</f>
        <v>14</v>
      </c>
      <c r="K266" s="37" t="n">
        <f aca="false">Referencia!J$132</f>
        <v>15</v>
      </c>
      <c r="L266" s="37" t="n">
        <f aca="false">Referencia!K$132</f>
        <v>16</v>
      </c>
      <c r="M266" s="37" t="n">
        <f aca="false">Referencia!L$132</f>
        <v>17</v>
      </c>
      <c r="N266" s="37" t="n">
        <f aca="false">Referencia!M$132</f>
        <v>18</v>
      </c>
    </row>
    <row r="267" customFormat="false" ht="15" hidden="false" customHeight="false" outlineLevel="0" collapsed="false">
      <c r="C267" s="8" t="s">
        <v>159</v>
      </c>
      <c r="D267" s="14" t="n">
        <f aca="false">D232*SUMPRODUCT(Captura_Zonas!$H$9:$O$9,Referencia!$C$158:$J$158)</f>
        <v>0</v>
      </c>
      <c r="E267" s="14" t="n">
        <f aca="false">D232*SUMPRODUCT(Captura_Zonas!$H$9:$O$9,Referencia!$C$159:$J$159)</f>
        <v>0</v>
      </c>
      <c r="F267" s="14" t="n">
        <f aca="false">D232*SUMPRODUCT(Captura_Zonas!$H$9:$O$9,Referencia!$C$160:$J$160)</f>
        <v>0</v>
      </c>
      <c r="G267" s="14" t="n">
        <f aca="false">D232*SUMPRODUCT(Captura_Zonas!$H$9:$O$9,Referencia!$C$161:$J$161)</f>
        <v>0</v>
      </c>
      <c r="H267" s="14" t="n">
        <f aca="false">D232*SUMPRODUCT(Captura_Zonas!$H$9:$O$9,Referencia!$C$162:$J$162)</f>
        <v>0</v>
      </c>
      <c r="I267" s="14" t="n">
        <f aca="false">D232*SUMPRODUCT(Captura_Zonas!$H$9:$O$9,Referencia!$C$163:$J$163)</f>
        <v>0</v>
      </c>
      <c r="J267" s="14" t="n">
        <f aca="false">D232*SUMPRODUCT(Captura_Zonas!$H$9:$O$9,Referencia!$C$164:$J$164)</f>
        <v>0</v>
      </c>
      <c r="K267" s="14" t="n">
        <f aca="false">D232*SUMPRODUCT(Captura_Zonas!$H$9:$O$9,Referencia!$C$165:$J$165)</f>
        <v>0</v>
      </c>
      <c r="L267" s="14" t="n">
        <f aca="false">D232*SUMPRODUCT(Captura_Zonas!$H$9:$O$9,Referencia!$C$166:$J$166)</f>
        <v>0</v>
      </c>
      <c r="M267" s="14" t="n">
        <f aca="false">D232*SUMPRODUCT(Captura_Zonas!$H$9:$O$9,Referencia!$C$167:$J$167)</f>
        <v>0</v>
      </c>
      <c r="N267" s="14" t="n">
        <f aca="false">D232*SUMPRODUCT(Captura_Zonas!$H$9:$O$9,Referencia!$C$168:$J$168)</f>
        <v>0</v>
      </c>
    </row>
    <row r="268" customFormat="false" ht="15" hidden="false" customHeight="false" outlineLevel="0" collapsed="false">
      <c r="C268" s="8" t="s">
        <v>160</v>
      </c>
      <c r="D268" s="14" t="n">
        <f aca="false">D234*Captura_Zonas!P9*Referencia!C$171</f>
        <v>0</v>
      </c>
      <c r="E268" s="14" t="n">
        <f aca="false">D234*Captura_Zonas!P9*Referencia!D$171</f>
        <v>0</v>
      </c>
      <c r="F268" s="14" t="n">
        <f aca="false">D234*Captura_Zonas!P9*Referencia!E$171</f>
        <v>0</v>
      </c>
      <c r="G268" s="14" t="n">
        <f aca="false">D234*Captura_Zonas!P9*Referencia!F$171</f>
        <v>0</v>
      </c>
      <c r="H268" s="14" t="n">
        <f aca="false">D234*Captura_Zonas!P9*Referencia!G$171</f>
        <v>0</v>
      </c>
      <c r="I268" s="14" t="n">
        <f aca="false">D234*Captura_Zonas!P9*Referencia!H$171</f>
        <v>0</v>
      </c>
      <c r="J268" s="14" t="n">
        <f aca="false">D234*Captura_Zonas!P9*Referencia!I$171</f>
        <v>0</v>
      </c>
      <c r="K268" s="14" t="n">
        <f aca="false">D234*Captura_Zonas!P9*Referencia!J$171</f>
        <v>0</v>
      </c>
      <c r="L268" s="14" t="n">
        <f aca="false">D234*Captura_Zonas!P9*Referencia!K$171</f>
        <v>0</v>
      </c>
      <c r="M268" s="14" t="n">
        <f aca="false">D234*Captura_Zonas!P9*Referencia!L$171</f>
        <v>0</v>
      </c>
      <c r="N268" s="14" t="n">
        <f aca="false">D234*Captura_Zonas!P9*Referencia!M$171</f>
        <v>0</v>
      </c>
    </row>
    <row r="269" customFormat="false" ht="15" hidden="false" customHeight="false" outlineLevel="0" collapsed="false">
      <c r="C269" s="8" t="s">
        <v>161</v>
      </c>
      <c r="D269" s="14" t="n">
        <f aca="false">D236*(Captura_Zonas!S9+Captura_Zonas!T9+Captura_Zonas!U9+Captura_Zonas!V9+Captura_Zonas!W9+Captura_Zonas!X9+Captura_Zonas!Y9+Captura_Zonas!Z9)*Referencia!C$139</f>
        <v>0</v>
      </c>
      <c r="E269" s="14" t="n">
        <f aca="false">D236*(Captura_Zonas!S9+Captura_Zonas!T9+Captura_Zonas!U9+Captura_Zonas!V9+Captura_Zonas!W9+Captura_Zonas!X9+Captura_Zonas!Y9+Captura_Zonas!Z9)*Referencia!D$139</f>
        <v>0</v>
      </c>
      <c r="F269" s="14" t="n">
        <f aca="false">D236*(Captura_Zonas!S9+Captura_Zonas!T9+Captura_Zonas!U9+Captura_Zonas!V9+Captura_Zonas!W9+Captura_Zonas!X9+Captura_Zonas!Y9+Captura_Zonas!Z9)*Referencia!E$139</f>
        <v>0</v>
      </c>
      <c r="G269" s="14" t="n">
        <f aca="false">D236*(Captura_Zonas!S9+Captura_Zonas!T9+Captura_Zonas!U9+Captura_Zonas!V9+Captura_Zonas!W9+Captura_Zonas!X9+Captura_Zonas!Y9+Captura_Zonas!Z9)*Referencia!F$139</f>
        <v>0</v>
      </c>
      <c r="H269" s="14" t="n">
        <f aca="false">D236*(Captura_Zonas!S9+Captura_Zonas!T9+Captura_Zonas!U9+Captura_Zonas!V9+Captura_Zonas!W9+Captura_Zonas!X9+Captura_Zonas!Y9+Captura_Zonas!Z9)*Referencia!G$139</f>
        <v>0</v>
      </c>
      <c r="I269" s="14" t="n">
        <f aca="false">D236*(Captura_Zonas!S9+Captura_Zonas!T9+Captura_Zonas!U9+Captura_Zonas!V9+Captura_Zonas!W9+Captura_Zonas!X9+Captura_Zonas!Y9+Captura_Zonas!Z9)*Referencia!H$139</f>
        <v>0</v>
      </c>
      <c r="J269" s="14" t="n">
        <f aca="false">D236*(Captura_Zonas!S9+Captura_Zonas!T9+Captura_Zonas!U9+Captura_Zonas!V9+Captura_Zonas!W9+Captura_Zonas!X9+Captura_Zonas!Y9+Captura_Zonas!Z9)*Referencia!I$139</f>
        <v>0</v>
      </c>
      <c r="K269" s="14" t="n">
        <f aca="false">D236*(Captura_Zonas!S9+Captura_Zonas!T9+Captura_Zonas!U9+Captura_Zonas!V9+Captura_Zonas!W9+Captura_Zonas!X9+Captura_Zonas!Y9+Captura_Zonas!Z9)*Referencia!J$139</f>
        <v>0</v>
      </c>
      <c r="L269" s="14" t="n">
        <f aca="false">D236*(Captura_Zonas!S9+Captura_Zonas!T9+Captura_Zonas!U9+Captura_Zonas!V9+Captura_Zonas!W9+Captura_Zonas!X9+Captura_Zonas!Y9+Captura_Zonas!Z9)*Referencia!K$139</f>
        <v>0</v>
      </c>
      <c r="M269" s="14" t="n">
        <f aca="false">D236*(Captura_Zonas!S9+Captura_Zonas!T9+Captura_Zonas!U9+Captura_Zonas!V9+Captura_Zonas!W9+Captura_Zonas!X9+Captura_Zonas!Y9+Captura_Zonas!Z9)*Referencia!L$139</f>
        <v>0</v>
      </c>
      <c r="N269" s="14" t="n">
        <f aca="false">D236*(Captura_Zonas!S9+Captura_Zonas!T9+Captura_Zonas!U9+Captura_Zonas!V9+Captura_Zonas!W9+Captura_Zonas!X9+Captura_Zonas!Y9+Captura_Zonas!Z9)*Referencia!M$139</f>
        <v>0</v>
      </c>
    </row>
    <row r="270" customFormat="false" ht="15" hidden="false" customHeight="false" outlineLevel="0" collapsed="false">
      <c r="C270" s="8" t="s">
        <v>162</v>
      </c>
      <c r="D270" s="14" t="n">
        <f aca="false">D237*D242*SUMPRODUCT(Captura_Zonas!$S$9:$Z$9,Referencia!$C$111:$J$111,Referencia!$C$119:$J$119)</f>
        <v>0</v>
      </c>
      <c r="E270" s="14" t="n">
        <f aca="false">D237*D242*SUMPRODUCT(Captura_Zonas!$S$9:$Z$9,Referencia!$C$111:$J$111,Referencia!$C$120:$J$120)</f>
        <v>0</v>
      </c>
      <c r="F270" s="14" t="n">
        <f aca="false">D237*D242*SUMPRODUCT(Captura_Zonas!$S$9:$Z$9,Referencia!$C$111:$J$111,Referencia!$C$121:$J$121)</f>
        <v>0</v>
      </c>
      <c r="G270" s="14" t="n">
        <f aca="false">D237*D242*SUMPRODUCT(Captura_Zonas!$S$9:$Z$9,Referencia!$C$111:$J$111,Referencia!$C$122:$J$122)</f>
        <v>0</v>
      </c>
      <c r="H270" s="14" t="n">
        <f aca="false">D237*D242*SUMPRODUCT(Captura_Zonas!$S$9:$Z$9,Referencia!$C$111:$J$111,Referencia!$C$123:$J$123)</f>
        <v>0</v>
      </c>
      <c r="I270" s="14" t="n">
        <f aca="false">D237*D242*SUMPRODUCT(Captura_Zonas!$S$9:$Z$9,Referencia!$C$111:$J$111,Referencia!$C$124:$J$124)</f>
        <v>0</v>
      </c>
      <c r="J270" s="14" t="n">
        <f aca="false">D237*D242*SUMPRODUCT(Captura_Zonas!$S$9:$Z$9,Referencia!$C$111:$J$111,Referencia!$C$125:$J$125)</f>
        <v>0</v>
      </c>
      <c r="K270" s="14" t="n">
        <f aca="false">D237*D242*SUMPRODUCT(Captura_Zonas!$S$9:$Z$9,Referencia!$C$111:$J$111,Referencia!$C$126:$J$126)</f>
        <v>0</v>
      </c>
      <c r="L270" s="14" t="n">
        <f aca="false">D237*D242*SUMPRODUCT(Captura_Zonas!$S$9:$Z$9,Referencia!$C$111:$J$111,Referencia!$C$127:$J$127)</f>
        <v>0</v>
      </c>
      <c r="M270" s="14" t="n">
        <f aca="false">D237*D242*SUMPRODUCT(Captura_Zonas!$S$9:$Z$9,Referencia!$C$111:$J$111,Referencia!$C$128:$J$128)</f>
        <v>0</v>
      </c>
      <c r="N270" s="14" t="n">
        <f aca="false">D237*D242*SUMPRODUCT(Captura_Zonas!$S$9:$Z$9,Referencia!$C$111:$J$111,Referencia!$C$129:$J$129)</f>
        <v>0</v>
      </c>
    </row>
    <row r="271" customFormat="false" ht="15" hidden="false" customHeight="false" outlineLevel="0" collapsed="false">
      <c r="C271" s="8" t="s">
        <v>163</v>
      </c>
      <c r="D271" s="14" t="n">
        <f aca="false">D222*Proyecto!$C$52*Proyecto!$C$51*MAX(3,Referencia!C$139*0.35)</f>
        <v>0</v>
      </c>
      <c r="E271" s="14" t="n">
        <f aca="false">D222*Proyecto!$C$52*Proyecto!$C$51*MAX(3,Referencia!D$139*0.35)</f>
        <v>0</v>
      </c>
      <c r="F271" s="14" t="n">
        <f aca="false">D222*Proyecto!$C$52*Proyecto!$C$51*MAX(3,Referencia!E$139*0.35)</f>
        <v>0</v>
      </c>
      <c r="G271" s="14" t="n">
        <f aca="false">D222*Proyecto!$C$52*Proyecto!$C$51*MAX(3,Referencia!F$139*0.35)</f>
        <v>0</v>
      </c>
      <c r="H271" s="14" t="n">
        <f aca="false">D222*Proyecto!$C$52*Proyecto!$C$51*MAX(3,Referencia!G$139*0.35)</f>
        <v>0</v>
      </c>
      <c r="I271" s="14" t="n">
        <f aca="false">D222*Proyecto!$C$52*Proyecto!$C$51*MAX(3,Referencia!H$139*0.35)</f>
        <v>0</v>
      </c>
      <c r="J271" s="14" t="n">
        <f aca="false">D222*Proyecto!$C$52*Proyecto!$C$51*MAX(3,Referencia!I$139*0.35)</f>
        <v>0</v>
      </c>
      <c r="K271" s="14" t="n">
        <f aca="false">D222*Proyecto!$C$52*Proyecto!$C$51*MAX(3,Referencia!J$139*0.35)</f>
        <v>0</v>
      </c>
      <c r="L271" s="14" t="n">
        <f aca="false">D222*Proyecto!$C$52*Proyecto!$C$51*MAX(3,Referencia!K$139*0.35)</f>
        <v>0</v>
      </c>
      <c r="M271" s="14" t="n">
        <f aca="false">D222*Proyecto!$C$52*Proyecto!$C$51*MAX(3,Referencia!L$139*0.35)</f>
        <v>0</v>
      </c>
      <c r="N271" s="14" t="n">
        <f aca="false">D222*Proyecto!$C$52*Proyecto!$C$51*MAX(3,Referencia!M$139*0.35)</f>
        <v>0</v>
      </c>
    </row>
    <row r="272" customFormat="false" ht="15" hidden="false" customHeight="false" outlineLevel="0" collapsed="false">
      <c r="C272" s="8" t="s">
        <v>164</v>
      </c>
      <c r="D272" s="14" t="n">
        <f aca="false">IF(Captura_Zonas!P9&lt;=0,D222*Proyecto!$C$54*Proyecto!$C$53*MAX(2,Referencia!C$139*0.25),0)</f>
        <v>0</v>
      </c>
      <c r="E272" s="14" t="n">
        <f aca="false">IF(Captura_Zonas!P9&lt;=0,D222*Proyecto!$C$54*Proyecto!$C$53*MAX(2,Referencia!D$139*0.25),0)</f>
        <v>0</v>
      </c>
      <c r="F272" s="14" t="n">
        <f aca="false">IF(Captura_Zonas!P9&lt;=0,D222*Proyecto!$C$54*Proyecto!$C$53*MAX(2,Referencia!E$139*0.25),0)</f>
        <v>0</v>
      </c>
      <c r="G272" s="14" t="n">
        <f aca="false">IF(Captura_Zonas!P9&lt;=0,D222*Proyecto!$C$54*Proyecto!$C$53*MAX(2,Referencia!F$139*0.25),0)</f>
        <v>0</v>
      </c>
      <c r="H272" s="14" t="n">
        <f aca="false">IF(Captura_Zonas!P9&lt;=0,D222*Proyecto!$C$54*Proyecto!$C$53*MAX(2,Referencia!G$139*0.25),0)</f>
        <v>0</v>
      </c>
      <c r="I272" s="14" t="n">
        <f aca="false">IF(Captura_Zonas!P9&lt;=0,D222*Proyecto!$C$54*Proyecto!$C$53*MAX(2,Referencia!H$139*0.25),0)</f>
        <v>0</v>
      </c>
      <c r="J272" s="14" t="n">
        <f aca="false">IF(Captura_Zonas!P9&lt;=0,D222*Proyecto!$C$54*Proyecto!$C$53*MAX(2,Referencia!I$139*0.25),0)</f>
        <v>0</v>
      </c>
      <c r="K272" s="14" t="n">
        <f aca="false">IF(Captura_Zonas!P9&lt;=0,D222*Proyecto!$C$54*Proyecto!$C$53*MAX(2,Referencia!J$139*0.25),0)</f>
        <v>0</v>
      </c>
      <c r="L272" s="14" t="n">
        <f aca="false">IF(Captura_Zonas!P9&lt;=0,D222*Proyecto!$C$54*Proyecto!$C$53*MAX(2,Referencia!K$139*0.25),0)</f>
        <v>0</v>
      </c>
      <c r="M272" s="14" t="n">
        <f aca="false">IF(Captura_Zonas!P9&lt;=0,D222*Proyecto!$C$54*Proyecto!$C$53*MAX(2,Referencia!L$139*0.25),0)</f>
        <v>0</v>
      </c>
      <c r="N272" s="14" t="n">
        <f aca="false">IF(Captura_Zonas!P9&lt;=0,D222*Proyecto!$C$54*Proyecto!$C$53*MAX(2,Referencia!M$139*0.25),0)</f>
        <v>0</v>
      </c>
    </row>
    <row r="273" customFormat="false" ht="15" hidden="false" customHeight="false" outlineLevel="0" collapsed="false">
      <c r="C273" s="8" t="s">
        <v>165</v>
      </c>
      <c r="D273" s="14" t="n">
        <f aca="false">D254*Proyecto!$C$31*Referencia!C$139</f>
        <v>0</v>
      </c>
      <c r="E273" s="14" t="n">
        <f aca="false">D254*Proyecto!$C$31*Referencia!D$139</f>
        <v>0</v>
      </c>
      <c r="F273" s="14" t="n">
        <f aca="false">D254*Proyecto!$C$31*Referencia!E$139</f>
        <v>0</v>
      </c>
      <c r="G273" s="14" t="n">
        <f aca="false">D254*Proyecto!$C$31*Referencia!F$139</f>
        <v>0</v>
      </c>
      <c r="H273" s="14" t="n">
        <f aca="false">D254*Proyecto!$C$31*Referencia!G$139</f>
        <v>0</v>
      </c>
      <c r="I273" s="14" t="n">
        <f aca="false">D254*Proyecto!$C$31*Referencia!H$139</f>
        <v>0</v>
      </c>
      <c r="J273" s="14" t="n">
        <f aca="false">D254*Proyecto!$C$31*Referencia!I$139</f>
        <v>0</v>
      </c>
      <c r="K273" s="14" t="n">
        <f aca="false">D254*Proyecto!$C$31*Referencia!J$139</f>
        <v>0</v>
      </c>
      <c r="L273" s="14" t="n">
        <f aca="false">D254*Proyecto!$C$31*Referencia!K$139</f>
        <v>0</v>
      </c>
      <c r="M273" s="14" t="n">
        <f aca="false">D254*Proyecto!$C$31*Referencia!L$139</f>
        <v>0</v>
      </c>
      <c r="N273" s="14" t="n">
        <f aca="false">D254*Proyecto!$C$31*Referencia!M$139</f>
        <v>0</v>
      </c>
    </row>
    <row r="274" customFormat="false" ht="15" hidden="false" customHeight="false" outlineLevel="0" collapsed="false">
      <c r="C274" s="8" t="s">
        <v>166</v>
      </c>
      <c r="D274" s="14" t="n">
        <f aca="false">D258*Proyecto!$C$31*Referencia!C$139</f>
        <v>0</v>
      </c>
      <c r="E274" s="14" t="n">
        <f aca="false">D258*Proyecto!$C$31*Referencia!D$139</f>
        <v>0</v>
      </c>
      <c r="F274" s="14" t="n">
        <f aca="false">D258*Proyecto!$C$31*Referencia!E$139</f>
        <v>0</v>
      </c>
      <c r="G274" s="14" t="n">
        <f aca="false">D258*Proyecto!$C$31*Referencia!F$139</f>
        <v>0</v>
      </c>
      <c r="H274" s="14" t="n">
        <f aca="false">D258*Proyecto!$C$31*Referencia!G$139</f>
        <v>0</v>
      </c>
      <c r="I274" s="14" t="n">
        <f aca="false">D258*Proyecto!$C$31*Referencia!H$139</f>
        <v>0</v>
      </c>
      <c r="J274" s="14" t="n">
        <f aca="false">D258*Proyecto!$C$31*Referencia!I$139</f>
        <v>0</v>
      </c>
      <c r="K274" s="14" t="n">
        <f aca="false">D258*Proyecto!$C$31*Referencia!J$139</f>
        <v>0</v>
      </c>
      <c r="L274" s="14" t="n">
        <f aca="false">D258*Proyecto!$C$31*Referencia!K$139</f>
        <v>0</v>
      </c>
      <c r="M274" s="14" t="n">
        <f aca="false">D258*Proyecto!$C$31*Referencia!L$139</f>
        <v>0</v>
      </c>
      <c r="N274" s="14" t="n">
        <f aca="false">D258*Proyecto!$C$31*Referencia!M$139</f>
        <v>0</v>
      </c>
    </row>
    <row r="275" customFormat="false" ht="15" hidden="false" customHeight="false" outlineLevel="0" collapsed="false">
      <c r="C275" s="8" t="s">
        <v>167</v>
      </c>
      <c r="D275" s="14" t="n">
        <f aca="false">D267+D268+D269+D270+D271+D272+$D$250+$D$252+$D$253+D273</f>
        <v>0</v>
      </c>
      <c r="E275" s="14" t="n">
        <f aca="false">E267+E268+E269+E270+E271+E272+$D$250+$D$252+$D$253+E273</f>
        <v>0</v>
      </c>
      <c r="F275" s="14" t="n">
        <f aca="false">F267+F268+F269+F270+F271+F272+$D$250+$D$252+$D$253+F273</f>
        <v>0</v>
      </c>
      <c r="G275" s="14" t="n">
        <f aca="false">G267+G268+G269+G270+G271+G272+$D$250+$D$252+$D$253+G273</f>
        <v>0</v>
      </c>
      <c r="H275" s="14" t="n">
        <f aca="false">H267+H268+H269+H270+H271+H272+$D$250+$D$252+$D$253+H273</f>
        <v>0</v>
      </c>
      <c r="I275" s="14" t="n">
        <f aca="false">I267+I268+I269+I270+I271+I272+$D$250+$D$252+$D$253+I273</f>
        <v>0</v>
      </c>
      <c r="J275" s="14" t="n">
        <f aca="false">J267+J268+J269+J270+J271+J272+$D$250+$D$252+$D$253+J273</f>
        <v>0</v>
      </c>
      <c r="K275" s="14" t="n">
        <f aca="false">K267+K268+K269+K270+K271+K272+$D$250+$D$252+$D$253+K273</f>
        <v>0</v>
      </c>
      <c r="L275" s="14" t="n">
        <f aca="false">L267+L268+L269+L270+L271+L272+$D$250+$D$252+$D$253+L273</f>
        <v>0</v>
      </c>
      <c r="M275" s="14" t="n">
        <f aca="false">M267+M268+M269+M270+M271+M272+$D$250+$D$252+$D$253+M273</f>
        <v>0</v>
      </c>
      <c r="N275" s="14" t="n">
        <f aca="false">N267+N268+N269+N270+N271+N272+$D$250+$D$252+$D$253+N273</f>
        <v>0</v>
      </c>
    </row>
    <row r="276" customFormat="false" ht="15" hidden="false" customHeight="false" outlineLevel="0" collapsed="false">
      <c r="C276" s="8" t="s">
        <v>168</v>
      </c>
      <c r="D276" s="14" t="n">
        <f aca="false">D275*Proyecto!$C$42</f>
        <v>0</v>
      </c>
      <c r="E276" s="14" t="n">
        <f aca="false">E275*Proyecto!$C$42</f>
        <v>0</v>
      </c>
      <c r="F276" s="14" t="n">
        <f aca="false">F275*Proyecto!$C$42</f>
        <v>0</v>
      </c>
      <c r="G276" s="14" t="n">
        <f aca="false">G275*Proyecto!$C$42</f>
        <v>0</v>
      </c>
      <c r="H276" s="14" t="n">
        <f aca="false">H275*Proyecto!$C$42</f>
        <v>0</v>
      </c>
      <c r="I276" s="14" t="n">
        <f aca="false">I275*Proyecto!$C$42</f>
        <v>0</v>
      </c>
      <c r="J276" s="14" t="n">
        <f aca="false">J275*Proyecto!$C$42</f>
        <v>0</v>
      </c>
      <c r="K276" s="14" t="n">
        <f aca="false">K275*Proyecto!$C$42</f>
        <v>0</v>
      </c>
      <c r="L276" s="14" t="n">
        <f aca="false">L275*Proyecto!$C$42</f>
        <v>0</v>
      </c>
      <c r="M276" s="14" t="n">
        <f aca="false">M275*Proyecto!$C$42</f>
        <v>0</v>
      </c>
      <c r="N276" s="14" t="n">
        <f aca="false">N275*Proyecto!$C$42</f>
        <v>0</v>
      </c>
    </row>
    <row r="277" customFormat="false" ht="15" hidden="false" customHeight="false" outlineLevel="0" collapsed="false">
      <c r="C277" s="8" t="s">
        <v>169</v>
      </c>
      <c r="D277" s="14" t="n">
        <f aca="false">D275*Proyecto!$C$43</f>
        <v>0</v>
      </c>
      <c r="E277" s="14" t="n">
        <f aca="false">E275*Proyecto!$C$43</f>
        <v>0</v>
      </c>
      <c r="F277" s="14" t="n">
        <f aca="false">F275*Proyecto!$C$43</f>
        <v>0</v>
      </c>
      <c r="G277" s="14" t="n">
        <f aca="false">G275*Proyecto!$C$43</f>
        <v>0</v>
      </c>
      <c r="H277" s="14" t="n">
        <f aca="false">H275*Proyecto!$C$43</f>
        <v>0</v>
      </c>
      <c r="I277" s="14" t="n">
        <f aca="false">I275*Proyecto!$C$43</f>
        <v>0</v>
      </c>
      <c r="J277" s="14" t="n">
        <f aca="false">J275*Proyecto!$C$43</f>
        <v>0</v>
      </c>
      <c r="K277" s="14" t="n">
        <f aca="false">K275*Proyecto!$C$43</f>
        <v>0</v>
      </c>
      <c r="L277" s="14" t="n">
        <f aca="false">L275*Proyecto!$C$43</f>
        <v>0</v>
      </c>
      <c r="M277" s="14" t="n">
        <f aca="false">M275*Proyecto!$C$43</f>
        <v>0</v>
      </c>
      <c r="N277" s="14" t="n">
        <f aca="false">N275*Proyecto!$C$43</f>
        <v>0</v>
      </c>
    </row>
    <row r="278" customFormat="false" ht="15" hidden="false" customHeight="false" outlineLevel="0" collapsed="false">
      <c r="C278" s="8" t="s">
        <v>170</v>
      </c>
      <c r="D278" s="14" t="n">
        <f aca="false">(D275+D276+D277)*Proyecto!$C$39</f>
        <v>0</v>
      </c>
      <c r="E278" s="14" t="n">
        <f aca="false">(E275+E276+E277)*Proyecto!$C$39</f>
        <v>0</v>
      </c>
      <c r="F278" s="14" t="n">
        <f aca="false">(F275+F276+F277)*Proyecto!$C$39</f>
        <v>0</v>
      </c>
      <c r="G278" s="14" t="n">
        <f aca="false">(G275+G276+G277)*Proyecto!$C$39</f>
        <v>0</v>
      </c>
      <c r="H278" s="14" t="n">
        <f aca="false">(H275+H276+H277)*Proyecto!$C$39</f>
        <v>0</v>
      </c>
      <c r="I278" s="14" t="n">
        <f aca="false">(I275+I276+I277)*Proyecto!$C$39</f>
        <v>0</v>
      </c>
      <c r="J278" s="14" t="n">
        <f aca="false">(J275+J276+J277)*Proyecto!$C$39</f>
        <v>0</v>
      </c>
      <c r="K278" s="14" t="n">
        <f aca="false">(K275+K276+K277)*Proyecto!$C$39</f>
        <v>0</v>
      </c>
      <c r="L278" s="14" t="n">
        <f aca="false">(L275+L276+L277)*Proyecto!$C$39</f>
        <v>0</v>
      </c>
      <c r="M278" s="14" t="n">
        <f aca="false">(M275+M276+M277)*Proyecto!$C$39</f>
        <v>0</v>
      </c>
      <c r="N278" s="14" t="n">
        <f aca="false">(N275+N276+N277)*Proyecto!$C$39</f>
        <v>0</v>
      </c>
    </row>
    <row r="279" customFormat="false" ht="15" hidden="false" customHeight="false" outlineLevel="0" collapsed="false">
      <c r="C279" s="8" t="s">
        <v>171</v>
      </c>
      <c r="D279" s="14" t="n">
        <f aca="false">D275+D276+D277+D278</f>
        <v>0</v>
      </c>
      <c r="E279" s="14" t="n">
        <f aca="false">E275+E276+E277+E278</f>
        <v>0</v>
      </c>
      <c r="F279" s="14" t="n">
        <f aca="false">F275+F276+F277+F278</f>
        <v>0</v>
      </c>
      <c r="G279" s="14" t="n">
        <f aca="false">G275+G276+G277+G278</f>
        <v>0</v>
      </c>
      <c r="H279" s="14" t="n">
        <f aca="false">H275+H276+H277+H278</f>
        <v>0</v>
      </c>
      <c r="I279" s="14" t="n">
        <f aca="false">I275+I276+I277+I278</f>
        <v>0</v>
      </c>
      <c r="J279" s="14" t="n">
        <f aca="false">J275+J276+J277+J278</f>
        <v>0</v>
      </c>
      <c r="K279" s="14" t="n">
        <f aca="false">K275+K276+K277+K278</f>
        <v>0</v>
      </c>
      <c r="L279" s="14" t="n">
        <f aca="false">L275+L276+L277+L278</f>
        <v>0</v>
      </c>
      <c r="M279" s="14" t="n">
        <f aca="false">M275+M276+M277+M278</f>
        <v>0</v>
      </c>
      <c r="N279" s="14" t="n">
        <f aca="false">N275+N276+N277+N278</f>
        <v>0</v>
      </c>
    </row>
    <row r="280" customFormat="false" ht="15" hidden="false" customHeight="false" outlineLevel="0" collapsed="false">
      <c r="C280" s="8" t="s">
        <v>172</v>
      </c>
      <c r="D280" s="14" t="n">
        <f aca="false">D279+D274</f>
        <v>0</v>
      </c>
      <c r="E280" s="14" t="n">
        <f aca="false">E279+E274</f>
        <v>0</v>
      </c>
      <c r="F280" s="14" t="n">
        <f aca="false">F279+F274</f>
        <v>0</v>
      </c>
      <c r="G280" s="14" t="n">
        <f aca="false">G279+G274</f>
        <v>0</v>
      </c>
      <c r="H280" s="14" t="n">
        <f aca="false">H279+H274</f>
        <v>0</v>
      </c>
      <c r="I280" s="14" t="n">
        <f aca="false">I279+I274</f>
        <v>0</v>
      </c>
      <c r="J280" s="14" t="n">
        <f aca="false">J279+J274</f>
        <v>0</v>
      </c>
      <c r="K280" s="14" t="n">
        <f aca="false">K279+K274</f>
        <v>0</v>
      </c>
      <c r="L280" s="14" t="n">
        <f aca="false">L279+L274</f>
        <v>0</v>
      </c>
      <c r="M280" s="14" t="n">
        <f aca="false">M279+M274</f>
        <v>0</v>
      </c>
      <c r="N280" s="14" t="n">
        <f aca="false">N279+N274</f>
        <v>0</v>
      </c>
    </row>
    <row r="281" customFormat="false" ht="15" hidden="false" customHeight="false" outlineLevel="0" collapsed="false">
      <c r="C281" s="38" t="s">
        <v>173</v>
      </c>
      <c r="D281" s="36" t="n">
        <f aca="false">D280+$D$264</f>
        <v>0</v>
      </c>
      <c r="E281" s="36" t="n">
        <f aca="false">E280+$D$264</f>
        <v>0</v>
      </c>
      <c r="F281" s="36" t="n">
        <f aca="false">F280+$D$264</f>
        <v>0</v>
      </c>
      <c r="G281" s="36" t="n">
        <f aca="false">G280+$D$264</f>
        <v>0</v>
      </c>
      <c r="H281" s="36" t="n">
        <f aca="false">H280+$D$264</f>
        <v>0</v>
      </c>
      <c r="I281" s="36" t="n">
        <f aca="false">I280+$D$264</f>
        <v>0</v>
      </c>
      <c r="J281" s="36" t="n">
        <f aca="false">J280+$D$264</f>
        <v>0</v>
      </c>
      <c r="K281" s="36" t="n">
        <f aca="false">K280+$D$264</f>
        <v>0</v>
      </c>
      <c r="L281" s="36" t="n">
        <f aca="false">L280+$D$264</f>
        <v>0</v>
      </c>
      <c r="M281" s="36" t="n">
        <f aca="false">M280+$D$264</f>
        <v>0</v>
      </c>
      <c r="N281" s="36" t="n">
        <f aca="false">N280+$D$264</f>
        <v>0</v>
      </c>
    </row>
    <row r="282" customFormat="false" ht="15" hidden="false" customHeight="false" outlineLevel="0" collapsed="false">
      <c r="C282" s="8" t="s">
        <v>174</v>
      </c>
      <c r="D282" s="15" t="n">
        <f aca="false">D281/Proyecto!$C$48</f>
        <v>0</v>
      </c>
      <c r="E282" s="15" t="n">
        <f aca="false">E281/Proyecto!$C$48</f>
        <v>0</v>
      </c>
      <c r="F282" s="15" t="n">
        <f aca="false">F281/Proyecto!$C$48</f>
        <v>0</v>
      </c>
      <c r="G282" s="15" t="n">
        <f aca="false">G281/Proyecto!$C$48</f>
        <v>0</v>
      </c>
      <c r="H282" s="15" t="n">
        <f aca="false">H281/Proyecto!$C$48</f>
        <v>0</v>
      </c>
      <c r="I282" s="15" t="n">
        <f aca="false">I281/Proyecto!$C$48</f>
        <v>0</v>
      </c>
      <c r="J282" s="15" t="n">
        <f aca="false">J281/Proyecto!$C$48</f>
        <v>0</v>
      </c>
      <c r="K282" s="15" t="n">
        <f aca="false">K281/Proyecto!$C$48</f>
        <v>0</v>
      </c>
      <c r="L282" s="15" t="n">
        <f aca="false">L281/Proyecto!$C$48</f>
        <v>0</v>
      </c>
      <c r="M282" s="15" t="n">
        <f aca="false">M281/Proyecto!$C$48</f>
        <v>0</v>
      </c>
      <c r="N282" s="15" t="n">
        <f aca="false">N281/Proyecto!$C$48</f>
        <v>0</v>
      </c>
    </row>
    <row r="284" customFormat="false" ht="15" hidden="false" customHeight="false" outlineLevel="0" collapsed="false">
      <c r="C284" s="8" t="s">
        <v>175</v>
      </c>
      <c r="D284" s="36" t="n">
        <f aca="false">MAX(D281:N281)</f>
        <v>0</v>
      </c>
    </row>
    <row r="285" customFormat="false" ht="15" hidden="false" customHeight="false" outlineLevel="0" collapsed="false">
      <c r="C285" s="8" t="s">
        <v>176</v>
      </c>
      <c r="D285" s="14" t="n">
        <f aca="false">INDEX(D266:N266,MATCH(D284,D281:N281,0))</f>
        <v>8</v>
      </c>
    </row>
    <row r="286" customFormat="false" ht="15" hidden="false" customHeight="false" outlineLevel="0" collapsed="false">
      <c r="C286" s="8" t="s">
        <v>177</v>
      </c>
      <c r="D286" s="14" t="n">
        <f aca="false">INDEX(D279:N279,MATCH(D284,D281:N281,0))</f>
        <v>0</v>
      </c>
    </row>
    <row r="287" customFormat="false" ht="15" hidden="false" customHeight="false" outlineLevel="0" collapsed="false">
      <c r="C287" s="8" t="s">
        <v>178</v>
      </c>
      <c r="D287" s="14" t="n">
        <f aca="false">INDEX(D280:N280,MATCH(D284,D281:N281,0))</f>
        <v>0</v>
      </c>
    </row>
    <row r="288" customFormat="false" ht="15" hidden="false" customHeight="false" outlineLevel="0" collapsed="false">
      <c r="C288" s="8" t="s">
        <v>179</v>
      </c>
      <c r="D288" s="15" t="n">
        <f aca="false">D284/Proyecto!$C$48</f>
        <v>0</v>
      </c>
    </row>
    <row r="289" customFormat="false" ht="15" hidden="false" customHeight="false" outlineLevel="0" collapsed="false">
      <c r="C289" s="8" t="s">
        <v>180</v>
      </c>
      <c r="D289" s="15" t="n">
        <f aca="false">D284/1000</f>
        <v>0</v>
      </c>
    </row>
    <row r="290" customFormat="false" ht="15" hidden="false" customHeight="false" outlineLevel="0" collapsed="false">
      <c r="C290" s="8" t="s">
        <v>181</v>
      </c>
      <c r="D290" s="14" t="n">
        <f aca="false">(D286/(Proyecto!$C$31*Proyecto!$C$41))/1.699</f>
        <v>0</v>
      </c>
    </row>
    <row r="293" customFormat="false" ht="15" hidden="false" customHeight="false" outlineLevel="0" collapsed="false">
      <c r="C293" s="34" t="str">
        <f aca="false">Captura_Zonas!B10</f>
        <v>Zona 5</v>
      </c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</row>
    <row r="294" customFormat="false" ht="15" hidden="false" customHeight="false" outlineLevel="0" collapsed="false">
      <c r="C294" s="8" t="s">
        <v>61</v>
      </c>
      <c r="D294" s="15" t="n">
        <f aca="false">Captura_Zonas!C10</f>
        <v>0</v>
      </c>
    </row>
    <row r="295" customFormat="false" ht="15" hidden="false" customHeight="false" outlineLevel="0" collapsed="false">
      <c r="C295" s="8" t="s">
        <v>62</v>
      </c>
      <c r="D295" s="15" t="n">
        <f aca="false">MAX(0.1,Captura_Zonas!D10)</f>
        <v>0.1</v>
      </c>
    </row>
    <row r="296" customFormat="false" ht="15" hidden="false" customHeight="false" outlineLevel="0" collapsed="false">
      <c r="C296" s="8" t="s">
        <v>118</v>
      </c>
      <c r="D296" s="13" t="n">
        <f aca="false">D294*D295</f>
        <v>0</v>
      </c>
    </row>
    <row r="297" customFormat="false" ht="15" hidden="false" customHeight="false" outlineLevel="0" collapsed="false">
      <c r="C297" s="8" t="s">
        <v>63</v>
      </c>
      <c r="D297" s="8" t="str">
        <f aca="false">Captura_Zonas!E10</f>
        <v>Oficina</v>
      </c>
    </row>
    <row r="298" customFormat="false" ht="15" hidden="false" customHeight="false" outlineLevel="0" collapsed="false">
      <c r="C298" s="8" t="s">
        <v>119</v>
      </c>
      <c r="D298" s="14" t="n">
        <f aca="false">Captura_Zonas!F10</f>
        <v>16</v>
      </c>
    </row>
    <row r="299" customFormat="false" ht="15" hidden="false" customHeight="false" outlineLevel="0" collapsed="false">
      <c r="C299" s="8" t="s">
        <v>120</v>
      </c>
      <c r="D299" s="13" t="n">
        <f aca="false">INDEX(Referencia!$C$79:$C$88,MATCH(D297,Referencia!$B$79:$B$88,0))</f>
        <v>2.5</v>
      </c>
    </row>
    <row r="300" customFormat="false" ht="15" hidden="false" customHeight="false" outlineLevel="0" collapsed="false">
      <c r="C300" s="8" t="s">
        <v>121</v>
      </c>
      <c r="D300" s="15" t="n">
        <f aca="false">INDEX(Referencia!$D$79:$D$88,MATCH(D297,Referencia!$B$79:$B$88,0))</f>
        <v>0.3</v>
      </c>
    </row>
    <row r="301" customFormat="false" ht="15" hidden="false" customHeight="false" outlineLevel="0" collapsed="false">
      <c r="C301" s="8" t="s">
        <v>122</v>
      </c>
      <c r="D301" s="15" t="n">
        <f aca="false">INDEX(Referencia!$E$79:$E$88,MATCH(D297,Referencia!$B$79:$B$88,0))</f>
        <v>0.9</v>
      </c>
    </row>
    <row r="302" customFormat="false" ht="15" hidden="false" customHeight="false" outlineLevel="0" collapsed="false">
      <c r="C302" s="8" t="s">
        <v>123</v>
      </c>
      <c r="D302" s="15" t="n">
        <f aca="false">INDEX(Referencia!$F$79:$F$88,MATCH(D297,Referencia!$B$79:$B$88,0))</f>
        <v>0.95</v>
      </c>
    </row>
    <row r="303" customFormat="false" ht="15" hidden="false" customHeight="false" outlineLevel="0" collapsed="false">
      <c r="C303" s="8" t="s">
        <v>124</v>
      </c>
      <c r="D303" s="15" t="n">
        <f aca="false">INDEX(Referencia!$G$79:$G$88,MATCH(D297,Referencia!$B$79:$B$88,0))</f>
        <v>0.9</v>
      </c>
    </row>
    <row r="304" customFormat="false" ht="15" hidden="false" customHeight="false" outlineLevel="0" collapsed="false">
      <c r="C304" s="8" t="s">
        <v>125</v>
      </c>
      <c r="D304" s="16" t="n">
        <f aca="false">INDEX(Referencia!$C$15:$C$43,MATCH(Captura_Zonas!G10,Referencia!$B$15:$B$43,0))</f>
        <v>0.849</v>
      </c>
    </row>
    <row r="305" customFormat="false" ht="15" hidden="false" customHeight="false" outlineLevel="0" collapsed="false">
      <c r="C305" s="8" t="s">
        <v>126</v>
      </c>
      <c r="D305" s="14" t="n">
        <f aca="false">INDEX(Referencia!$D$15:$D$43,MATCH(Captura_Zonas!G10,Referencia!$B$15:$B$43,0))</f>
        <v>176</v>
      </c>
    </row>
    <row r="306" customFormat="false" ht="15" hidden="false" customHeight="false" outlineLevel="0" collapsed="false">
      <c r="C306" s="8" t="s">
        <v>127</v>
      </c>
      <c r="D306" s="16" t="n">
        <f aca="false">INDEX(Referencia!$C$47:$C$60,MATCH(Captura_Zonas!Q10,Referencia!$B$47:$B$60,0))</f>
        <v>0.55</v>
      </c>
    </row>
    <row r="307" customFormat="false" ht="15" hidden="false" customHeight="false" outlineLevel="0" collapsed="false">
      <c r="C307" s="8" t="s">
        <v>128</v>
      </c>
      <c r="D307" s="14" t="n">
        <f aca="false">INDEX(Referencia!$D$47:$D$60,MATCH(Captura_Zonas!Q10,Referencia!$B$47:$B$60,0))</f>
        <v>320</v>
      </c>
    </row>
    <row r="308" customFormat="false" ht="15" hidden="false" customHeight="false" outlineLevel="0" collapsed="false">
      <c r="C308" s="8" t="s">
        <v>129</v>
      </c>
      <c r="D308" s="15" t="n">
        <f aca="false">INDEX(Referencia!$C$64:$C$75,MATCH(Captura_Zonas!R10,Referencia!$B$64:$B$75,0))</f>
        <v>2.8</v>
      </c>
    </row>
    <row r="309" customFormat="false" ht="15" hidden="false" customHeight="false" outlineLevel="0" collapsed="false">
      <c r="C309" s="8" t="s">
        <v>130</v>
      </c>
      <c r="D309" s="15" t="n">
        <f aca="false">INDEX(Referencia!$E$64:$E$75,MATCH(Captura_Zonas!R10,Referencia!$B$64:$B$75,0))</f>
        <v>0.7</v>
      </c>
    </row>
    <row r="310" customFormat="false" ht="15" hidden="false" customHeight="false" outlineLevel="0" collapsed="false">
      <c r="C310" s="8" t="s">
        <v>131</v>
      </c>
      <c r="D310" s="13" t="n">
        <f aca="false">IF(D294&gt;0,((Captura_Zonas!H10+Captura_Zonas!I10+Captura_Zonas!J10+Captura_Zonas!K10+Captura_Zonas!L10+Captura_Zonas!M10+Captura_Zonas!N10+Captura_Zonas!O10)*D305+Captura_Zonas!P10*D307+(Captura_Zonas!S10+Captura_Zonas!T10+Captura_Zonas!U10+Captura_Zonas!V10+Captura_Zonas!W10+Captura_Zonas!X10+Captura_Zonas!Y10+Captura_Zonas!Z10)*25)/D294,200)</f>
        <v>200</v>
      </c>
    </row>
    <row r="311" customFormat="false" ht="15" hidden="false" customHeight="false" outlineLevel="0" collapsed="false">
      <c r="C311" s="8" t="s">
        <v>132</v>
      </c>
      <c r="D311" s="8" t="str">
        <f aca="false">IF(D310&lt;150,"Ligera",IF(D310&lt;350,"Media","Pesada"))</f>
        <v>Media</v>
      </c>
    </row>
    <row r="312" customFormat="false" ht="15" hidden="false" customHeight="false" outlineLevel="0" collapsed="false">
      <c r="C312" s="8" t="s">
        <v>133</v>
      </c>
      <c r="D312" s="13" t="n">
        <f aca="false">MAX(0,Captura_Zonas!AG10)</f>
        <v>0</v>
      </c>
    </row>
    <row r="313" customFormat="false" ht="15" hidden="false" customHeight="false" outlineLevel="0" collapsed="false">
      <c r="C313" s="8" t="s">
        <v>134</v>
      </c>
      <c r="D313" s="16" t="n">
        <f aca="false">IF(D312&lt;=0,1,MAX(0.75,1-D312*IF(D311="Pesada",0.04,IF(D311="Media",0.03,0.02))*2.5))</f>
        <v>1</v>
      </c>
    </row>
    <row r="314" customFormat="false" ht="15" hidden="false" customHeight="false" outlineLevel="0" collapsed="false">
      <c r="C314" s="8" t="s">
        <v>135</v>
      </c>
      <c r="D314" s="16" t="n">
        <f aca="false">INDEX(Referencia!$C$92:$E$94,MATCH(D298,Referencia!$B$92:$B$94,0),MATCH(D311,{"Ligera","Media","Pesada"},0))*D313</f>
        <v>0.66</v>
      </c>
    </row>
    <row r="315" customFormat="false" ht="15" hidden="false" customHeight="false" outlineLevel="0" collapsed="false">
      <c r="C315" s="8" t="s">
        <v>136</v>
      </c>
      <c r="D315" s="16" t="n">
        <f aca="false">INDEX(Referencia!$C$98:$E$100,MATCH(D298,Referencia!$B$98:$B$100,0),MATCH(D311,{"Ligera","Media","Pesada"},0))*D313</f>
        <v>0.7</v>
      </c>
    </row>
    <row r="316" customFormat="false" ht="15" hidden="false" customHeight="false" outlineLevel="0" collapsed="false">
      <c r="C316" s="8" t="s">
        <v>137</v>
      </c>
      <c r="D316" s="15" t="n">
        <f aca="false">INDEX(Referencia!$C$104:$C$106,MATCH(D298,Referencia!$B$104:$B$106,0))</f>
        <v>0.9</v>
      </c>
    </row>
    <row r="317" customFormat="false" ht="15" hidden="false" customHeight="false" outlineLevel="0" collapsed="false">
      <c r="C317" s="8" t="s">
        <v>138</v>
      </c>
      <c r="D317" s="15" t="n">
        <f aca="false">INDEX(Referencia!$D$104:$D$106,MATCH(D298,Referencia!$B$104:$B$106,0))</f>
        <v>0.9</v>
      </c>
    </row>
    <row r="318" customFormat="false" ht="15" hidden="false" customHeight="false" outlineLevel="0" collapsed="false">
      <c r="C318" s="8" t="s">
        <v>139</v>
      </c>
      <c r="D318" s="15" t="n">
        <f aca="false">IF(Captura_Zonas!AC10="Fluorescente",1.2,1)</f>
        <v>1</v>
      </c>
    </row>
    <row r="319" customFormat="false" ht="15" hidden="false" customHeight="false" outlineLevel="0" collapsed="false">
      <c r="C319" s="8" t="s">
        <v>140</v>
      </c>
      <c r="D319" s="35" t="b">
        <f aca="false">IF(Captura_Zonas!AF10="Auto",D295&gt;=3.5,Captura_Zonas!AF10="Sí")</f>
        <v>0</v>
      </c>
    </row>
    <row r="320" customFormat="false" ht="15" hidden="false" customHeight="false" outlineLevel="0" collapsed="false">
      <c r="C320" s="8" t="s">
        <v>141</v>
      </c>
      <c r="D320" s="15" t="n">
        <f aca="false">IF(D295&lt;=3.2,1,IF(AND(D319,D295&gt;=4),0.7,IF(D295&gt;=5,0.75,IF(D295&gt;=4,0.85,0.92))))</f>
        <v>1</v>
      </c>
    </row>
    <row r="321" customFormat="false" ht="15" hidden="false" customHeight="false" outlineLevel="0" collapsed="false">
      <c r="C321" s="8" t="s">
        <v>142</v>
      </c>
      <c r="D321" s="14" t="n">
        <f aca="false">MAX(0,ROUND(Captura_Zonas!AA10,0))</f>
        <v>0</v>
      </c>
    </row>
    <row r="322" customFormat="false" ht="15" hidden="false" customHeight="false" outlineLevel="0" collapsed="false">
      <c r="C322" s="8" t="s">
        <v>143</v>
      </c>
      <c r="D322" s="14" t="n">
        <f aca="false">D321*Proyecto!$C$44*D316*D301*Proyecto!$C$38</f>
        <v>0</v>
      </c>
    </row>
    <row r="323" customFormat="false" ht="15" hidden="false" customHeight="false" outlineLevel="0" collapsed="false">
      <c r="C323" s="8" t="s">
        <v>144</v>
      </c>
      <c r="D323" s="14" t="n">
        <f aca="false">D321*Proyecto!$C$45*D301*Proyecto!$C$38</f>
        <v>0</v>
      </c>
    </row>
    <row r="324" customFormat="false" ht="15" hidden="false" customHeight="false" outlineLevel="0" collapsed="false">
      <c r="C324" s="8" t="s">
        <v>145</v>
      </c>
      <c r="D324" s="14" t="n">
        <f aca="false">MAX(0,Captura_Zonas!AB10)*D318*D315*D302*Proyecto!$C$38*D320</f>
        <v>0</v>
      </c>
    </row>
    <row r="325" customFormat="false" ht="15" hidden="false" customHeight="false" outlineLevel="0" collapsed="false">
      <c r="C325" s="8" t="s">
        <v>146</v>
      </c>
      <c r="D325" s="14" t="n">
        <f aca="false">MAX(0,Captura_Zonas!AD10)*D317*D303*Proyecto!$C$38</f>
        <v>0</v>
      </c>
    </row>
    <row r="326" customFormat="false" ht="15" hidden="false" customHeight="false" outlineLevel="0" collapsed="false">
      <c r="C326" s="8" t="s">
        <v>147</v>
      </c>
      <c r="D326" s="14" t="n">
        <f aca="false">D296*MAX(0,Captura_Zonas!AE10)</f>
        <v>0</v>
      </c>
    </row>
    <row r="327" customFormat="false" ht="15" hidden="false" customHeight="false" outlineLevel="0" collapsed="false">
      <c r="C327" s="8" t="s">
        <v>148</v>
      </c>
      <c r="D327" s="14" t="n">
        <f aca="false">(D299*D321+D300*D294)*3.6</f>
        <v>0</v>
      </c>
    </row>
    <row r="328" customFormat="false" ht="15" hidden="false" customHeight="false" outlineLevel="0" collapsed="false">
      <c r="C328" s="8" t="s">
        <v>149</v>
      </c>
      <c r="D328" s="14" t="n">
        <f aca="false">D321*Proyecto!$C$46</f>
        <v>0</v>
      </c>
    </row>
    <row r="329" customFormat="false" ht="15" hidden="false" customHeight="false" outlineLevel="0" collapsed="false">
      <c r="C329" s="8" t="s">
        <v>150</v>
      </c>
      <c r="D329" s="14" t="n">
        <f aca="false">D294*Proyecto!$C$47</f>
        <v>0</v>
      </c>
    </row>
    <row r="330" customFormat="false" ht="15" hidden="false" customHeight="false" outlineLevel="0" collapsed="false">
      <c r="C330" s="8" t="s">
        <v>151</v>
      </c>
      <c r="D330" s="14" t="n">
        <f aca="false">MAX(D327,D328,D329,0)</f>
        <v>0</v>
      </c>
    </row>
    <row r="331" customFormat="false" ht="15" hidden="false" customHeight="false" outlineLevel="0" collapsed="false">
      <c r="C331" s="8" t="s">
        <v>152</v>
      </c>
      <c r="D331" s="14" t="n">
        <f aca="false">D326*Proyecto!$C$32*Referencia!$C$179</f>
        <v>0</v>
      </c>
    </row>
    <row r="332" customFormat="false" ht="15" hidden="false" customHeight="false" outlineLevel="0" collapsed="false">
      <c r="C332" s="8" t="s">
        <v>153</v>
      </c>
      <c r="D332" s="14" t="n">
        <f aca="false">D330*Proyecto!$C$32*Referencia!$C$179</f>
        <v>0</v>
      </c>
    </row>
    <row r="333" customFormat="false" ht="15" hidden="false" customHeight="false" outlineLevel="0" collapsed="false">
      <c r="C333" s="8" t="s">
        <v>154</v>
      </c>
      <c r="D333" s="14" t="n">
        <f aca="false">D323+D331</f>
        <v>0</v>
      </c>
    </row>
    <row r="334" customFormat="false" ht="15" hidden="false" customHeight="false" outlineLevel="0" collapsed="false">
      <c r="C334" s="8" t="s">
        <v>155</v>
      </c>
      <c r="D334" s="14" t="n">
        <f aca="false">D333*Proyecto!$C$39</f>
        <v>0</v>
      </c>
    </row>
    <row r="335" customFormat="false" ht="15" hidden="false" customHeight="false" outlineLevel="0" collapsed="false">
      <c r="C335" s="8" t="s">
        <v>156</v>
      </c>
      <c r="D335" s="14" t="n">
        <f aca="false">D333+D334</f>
        <v>0</v>
      </c>
    </row>
    <row r="336" customFormat="false" ht="15" hidden="false" customHeight="false" outlineLevel="0" collapsed="false">
      <c r="C336" s="8" t="s">
        <v>157</v>
      </c>
      <c r="D336" s="36" t="n">
        <f aca="false">D335+D332</f>
        <v>0</v>
      </c>
    </row>
    <row r="338" customFormat="false" ht="15" hidden="false" customHeight="false" outlineLevel="0" collapsed="false">
      <c r="C338" s="34" t="s">
        <v>158</v>
      </c>
      <c r="D338" s="37" t="n">
        <f aca="false">Referencia!C$132</f>
        <v>8</v>
      </c>
      <c r="E338" s="37" t="n">
        <f aca="false">Referencia!D$132</f>
        <v>9</v>
      </c>
      <c r="F338" s="37" t="n">
        <f aca="false">Referencia!E$132</f>
        <v>10</v>
      </c>
      <c r="G338" s="37" t="n">
        <f aca="false">Referencia!F$132</f>
        <v>11</v>
      </c>
      <c r="H338" s="37" t="n">
        <f aca="false">Referencia!G$132</f>
        <v>12</v>
      </c>
      <c r="I338" s="37" t="n">
        <f aca="false">Referencia!H$132</f>
        <v>13</v>
      </c>
      <c r="J338" s="37" t="n">
        <f aca="false">Referencia!I$132</f>
        <v>14</v>
      </c>
      <c r="K338" s="37" t="n">
        <f aca="false">Referencia!J$132</f>
        <v>15</v>
      </c>
      <c r="L338" s="37" t="n">
        <f aca="false">Referencia!K$132</f>
        <v>16</v>
      </c>
      <c r="M338" s="37" t="n">
        <f aca="false">Referencia!L$132</f>
        <v>17</v>
      </c>
      <c r="N338" s="37" t="n">
        <f aca="false">Referencia!M$132</f>
        <v>18</v>
      </c>
    </row>
    <row r="339" customFormat="false" ht="15" hidden="false" customHeight="false" outlineLevel="0" collapsed="false">
      <c r="C339" s="8" t="s">
        <v>159</v>
      </c>
      <c r="D339" s="14" t="n">
        <f aca="false">D304*SUMPRODUCT(Captura_Zonas!$H$10:$O$10,Referencia!$C$158:$J$158)</f>
        <v>0</v>
      </c>
      <c r="E339" s="14" t="n">
        <f aca="false">D304*SUMPRODUCT(Captura_Zonas!$H$10:$O$10,Referencia!$C$159:$J$159)</f>
        <v>0</v>
      </c>
      <c r="F339" s="14" t="n">
        <f aca="false">D304*SUMPRODUCT(Captura_Zonas!$H$10:$O$10,Referencia!$C$160:$J$160)</f>
        <v>0</v>
      </c>
      <c r="G339" s="14" t="n">
        <f aca="false">D304*SUMPRODUCT(Captura_Zonas!$H$10:$O$10,Referencia!$C$161:$J$161)</f>
        <v>0</v>
      </c>
      <c r="H339" s="14" t="n">
        <f aca="false">D304*SUMPRODUCT(Captura_Zonas!$H$10:$O$10,Referencia!$C$162:$J$162)</f>
        <v>0</v>
      </c>
      <c r="I339" s="14" t="n">
        <f aca="false">D304*SUMPRODUCT(Captura_Zonas!$H$10:$O$10,Referencia!$C$163:$J$163)</f>
        <v>0</v>
      </c>
      <c r="J339" s="14" t="n">
        <f aca="false">D304*SUMPRODUCT(Captura_Zonas!$H$10:$O$10,Referencia!$C$164:$J$164)</f>
        <v>0</v>
      </c>
      <c r="K339" s="14" t="n">
        <f aca="false">D304*SUMPRODUCT(Captura_Zonas!$H$10:$O$10,Referencia!$C$165:$J$165)</f>
        <v>0</v>
      </c>
      <c r="L339" s="14" t="n">
        <f aca="false">D304*SUMPRODUCT(Captura_Zonas!$H$10:$O$10,Referencia!$C$166:$J$166)</f>
        <v>0</v>
      </c>
      <c r="M339" s="14" t="n">
        <f aca="false">D304*SUMPRODUCT(Captura_Zonas!$H$10:$O$10,Referencia!$C$167:$J$167)</f>
        <v>0</v>
      </c>
      <c r="N339" s="14" t="n">
        <f aca="false">D304*SUMPRODUCT(Captura_Zonas!$H$10:$O$10,Referencia!$C$168:$J$168)</f>
        <v>0</v>
      </c>
    </row>
    <row r="340" customFormat="false" ht="15" hidden="false" customHeight="false" outlineLevel="0" collapsed="false">
      <c r="C340" s="8" t="s">
        <v>160</v>
      </c>
      <c r="D340" s="14" t="n">
        <f aca="false">D306*Captura_Zonas!P10*Referencia!C$171</f>
        <v>0</v>
      </c>
      <c r="E340" s="14" t="n">
        <f aca="false">D306*Captura_Zonas!P10*Referencia!D$171</f>
        <v>0</v>
      </c>
      <c r="F340" s="14" t="n">
        <f aca="false">D306*Captura_Zonas!P10*Referencia!E$171</f>
        <v>0</v>
      </c>
      <c r="G340" s="14" t="n">
        <f aca="false">D306*Captura_Zonas!P10*Referencia!F$171</f>
        <v>0</v>
      </c>
      <c r="H340" s="14" t="n">
        <f aca="false">D306*Captura_Zonas!P10*Referencia!G$171</f>
        <v>0</v>
      </c>
      <c r="I340" s="14" t="n">
        <f aca="false">D306*Captura_Zonas!P10*Referencia!H$171</f>
        <v>0</v>
      </c>
      <c r="J340" s="14" t="n">
        <f aca="false">D306*Captura_Zonas!P10*Referencia!I$171</f>
        <v>0</v>
      </c>
      <c r="K340" s="14" t="n">
        <f aca="false">D306*Captura_Zonas!P10*Referencia!J$171</f>
        <v>0</v>
      </c>
      <c r="L340" s="14" t="n">
        <f aca="false">D306*Captura_Zonas!P10*Referencia!K$171</f>
        <v>0</v>
      </c>
      <c r="M340" s="14" t="n">
        <f aca="false">D306*Captura_Zonas!P10*Referencia!L$171</f>
        <v>0</v>
      </c>
      <c r="N340" s="14" t="n">
        <f aca="false">D306*Captura_Zonas!P10*Referencia!M$171</f>
        <v>0</v>
      </c>
    </row>
    <row r="341" customFormat="false" ht="15" hidden="false" customHeight="false" outlineLevel="0" collapsed="false">
      <c r="C341" s="8" t="s">
        <v>161</v>
      </c>
      <c r="D341" s="14" t="n">
        <f aca="false">D308*(Captura_Zonas!S10+Captura_Zonas!T10+Captura_Zonas!U10+Captura_Zonas!V10+Captura_Zonas!W10+Captura_Zonas!X10+Captura_Zonas!Y10+Captura_Zonas!Z10)*Referencia!C$139</f>
        <v>0</v>
      </c>
      <c r="E341" s="14" t="n">
        <f aca="false">D308*(Captura_Zonas!S10+Captura_Zonas!T10+Captura_Zonas!U10+Captura_Zonas!V10+Captura_Zonas!W10+Captura_Zonas!X10+Captura_Zonas!Y10+Captura_Zonas!Z10)*Referencia!D$139</f>
        <v>0</v>
      </c>
      <c r="F341" s="14" t="n">
        <f aca="false">D308*(Captura_Zonas!S10+Captura_Zonas!T10+Captura_Zonas!U10+Captura_Zonas!V10+Captura_Zonas!W10+Captura_Zonas!X10+Captura_Zonas!Y10+Captura_Zonas!Z10)*Referencia!E$139</f>
        <v>0</v>
      </c>
      <c r="G341" s="14" t="n">
        <f aca="false">D308*(Captura_Zonas!S10+Captura_Zonas!T10+Captura_Zonas!U10+Captura_Zonas!V10+Captura_Zonas!W10+Captura_Zonas!X10+Captura_Zonas!Y10+Captura_Zonas!Z10)*Referencia!F$139</f>
        <v>0</v>
      </c>
      <c r="H341" s="14" t="n">
        <f aca="false">D308*(Captura_Zonas!S10+Captura_Zonas!T10+Captura_Zonas!U10+Captura_Zonas!V10+Captura_Zonas!W10+Captura_Zonas!X10+Captura_Zonas!Y10+Captura_Zonas!Z10)*Referencia!G$139</f>
        <v>0</v>
      </c>
      <c r="I341" s="14" t="n">
        <f aca="false">D308*(Captura_Zonas!S10+Captura_Zonas!T10+Captura_Zonas!U10+Captura_Zonas!V10+Captura_Zonas!W10+Captura_Zonas!X10+Captura_Zonas!Y10+Captura_Zonas!Z10)*Referencia!H$139</f>
        <v>0</v>
      </c>
      <c r="J341" s="14" t="n">
        <f aca="false">D308*(Captura_Zonas!S10+Captura_Zonas!T10+Captura_Zonas!U10+Captura_Zonas!V10+Captura_Zonas!W10+Captura_Zonas!X10+Captura_Zonas!Y10+Captura_Zonas!Z10)*Referencia!I$139</f>
        <v>0</v>
      </c>
      <c r="K341" s="14" t="n">
        <f aca="false">D308*(Captura_Zonas!S10+Captura_Zonas!T10+Captura_Zonas!U10+Captura_Zonas!V10+Captura_Zonas!W10+Captura_Zonas!X10+Captura_Zonas!Y10+Captura_Zonas!Z10)*Referencia!J$139</f>
        <v>0</v>
      </c>
      <c r="L341" s="14" t="n">
        <f aca="false">D308*(Captura_Zonas!S10+Captura_Zonas!T10+Captura_Zonas!U10+Captura_Zonas!V10+Captura_Zonas!W10+Captura_Zonas!X10+Captura_Zonas!Y10+Captura_Zonas!Z10)*Referencia!K$139</f>
        <v>0</v>
      </c>
      <c r="M341" s="14" t="n">
        <f aca="false">D308*(Captura_Zonas!S10+Captura_Zonas!T10+Captura_Zonas!U10+Captura_Zonas!V10+Captura_Zonas!W10+Captura_Zonas!X10+Captura_Zonas!Y10+Captura_Zonas!Z10)*Referencia!L$139</f>
        <v>0</v>
      </c>
      <c r="N341" s="14" t="n">
        <f aca="false">D308*(Captura_Zonas!S10+Captura_Zonas!T10+Captura_Zonas!U10+Captura_Zonas!V10+Captura_Zonas!W10+Captura_Zonas!X10+Captura_Zonas!Y10+Captura_Zonas!Z10)*Referencia!M$139</f>
        <v>0</v>
      </c>
    </row>
    <row r="342" customFormat="false" ht="15" hidden="false" customHeight="false" outlineLevel="0" collapsed="false">
      <c r="C342" s="8" t="s">
        <v>162</v>
      </c>
      <c r="D342" s="14" t="n">
        <f aca="false">D309*D314*SUMPRODUCT(Captura_Zonas!$S$10:$Z$10,Referencia!$C$111:$J$111,Referencia!$C$119:$J$119)</f>
        <v>0</v>
      </c>
      <c r="E342" s="14" t="n">
        <f aca="false">D309*D314*SUMPRODUCT(Captura_Zonas!$S$10:$Z$10,Referencia!$C$111:$J$111,Referencia!$C$120:$J$120)</f>
        <v>0</v>
      </c>
      <c r="F342" s="14" t="n">
        <f aca="false">D309*D314*SUMPRODUCT(Captura_Zonas!$S$10:$Z$10,Referencia!$C$111:$J$111,Referencia!$C$121:$J$121)</f>
        <v>0</v>
      </c>
      <c r="G342" s="14" t="n">
        <f aca="false">D309*D314*SUMPRODUCT(Captura_Zonas!$S$10:$Z$10,Referencia!$C$111:$J$111,Referencia!$C$122:$J$122)</f>
        <v>0</v>
      </c>
      <c r="H342" s="14" t="n">
        <f aca="false">D309*D314*SUMPRODUCT(Captura_Zonas!$S$10:$Z$10,Referencia!$C$111:$J$111,Referencia!$C$123:$J$123)</f>
        <v>0</v>
      </c>
      <c r="I342" s="14" t="n">
        <f aca="false">D309*D314*SUMPRODUCT(Captura_Zonas!$S$10:$Z$10,Referencia!$C$111:$J$111,Referencia!$C$124:$J$124)</f>
        <v>0</v>
      </c>
      <c r="J342" s="14" t="n">
        <f aca="false">D309*D314*SUMPRODUCT(Captura_Zonas!$S$10:$Z$10,Referencia!$C$111:$J$111,Referencia!$C$125:$J$125)</f>
        <v>0</v>
      </c>
      <c r="K342" s="14" t="n">
        <f aca="false">D309*D314*SUMPRODUCT(Captura_Zonas!$S$10:$Z$10,Referencia!$C$111:$J$111,Referencia!$C$126:$J$126)</f>
        <v>0</v>
      </c>
      <c r="L342" s="14" t="n">
        <f aca="false">D309*D314*SUMPRODUCT(Captura_Zonas!$S$10:$Z$10,Referencia!$C$111:$J$111,Referencia!$C$127:$J$127)</f>
        <v>0</v>
      </c>
      <c r="M342" s="14" t="n">
        <f aca="false">D309*D314*SUMPRODUCT(Captura_Zonas!$S$10:$Z$10,Referencia!$C$111:$J$111,Referencia!$C$128:$J$128)</f>
        <v>0</v>
      </c>
      <c r="N342" s="14" t="n">
        <f aca="false">D309*D314*SUMPRODUCT(Captura_Zonas!$S$10:$Z$10,Referencia!$C$111:$J$111,Referencia!$C$129:$J$129)</f>
        <v>0</v>
      </c>
    </row>
    <row r="343" customFormat="false" ht="15" hidden="false" customHeight="false" outlineLevel="0" collapsed="false">
      <c r="C343" s="8" t="s">
        <v>163</v>
      </c>
      <c r="D343" s="14" t="n">
        <f aca="false">D294*Proyecto!$C$52*Proyecto!$C$51*MAX(3,Referencia!C$139*0.35)</f>
        <v>0</v>
      </c>
      <c r="E343" s="14" t="n">
        <f aca="false">D294*Proyecto!$C$52*Proyecto!$C$51*MAX(3,Referencia!D$139*0.35)</f>
        <v>0</v>
      </c>
      <c r="F343" s="14" t="n">
        <f aca="false">D294*Proyecto!$C$52*Proyecto!$C$51*MAX(3,Referencia!E$139*0.35)</f>
        <v>0</v>
      </c>
      <c r="G343" s="14" t="n">
        <f aca="false">D294*Proyecto!$C$52*Proyecto!$C$51*MAX(3,Referencia!F$139*0.35)</f>
        <v>0</v>
      </c>
      <c r="H343" s="14" t="n">
        <f aca="false">D294*Proyecto!$C$52*Proyecto!$C$51*MAX(3,Referencia!G$139*0.35)</f>
        <v>0</v>
      </c>
      <c r="I343" s="14" t="n">
        <f aca="false">D294*Proyecto!$C$52*Proyecto!$C$51*MAX(3,Referencia!H$139*0.35)</f>
        <v>0</v>
      </c>
      <c r="J343" s="14" t="n">
        <f aca="false">D294*Proyecto!$C$52*Proyecto!$C$51*MAX(3,Referencia!I$139*0.35)</f>
        <v>0</v>
      </c>
      <c r="K343" s="14" t="n">
        <f aca="false">D294*Proyecto!$C$52*Proyecto!$C$51*MAX(3,Referencia!J$139*0.35)</f>
        <v>0</v>
      </c>
      <c r="L343" s="14" t="n">
        <f aca="false">D294*Proyecto!$C$52*Proyecto!$C$51*MAX(3,Referencia!K$139*0.35)</f>
        <v>0</v>
      </c>
      <c r="M343" s="14" t="n">
        <f aca="false">D294*Proyecto!$C$52*Proyecto!$C$51*MAX(3,Referencia!L$139*0.35)</f>
        <v>0</v>
      </c>
      <c r="N343" s="14" t="n">
        <f aca="false">D294*Proyecto!$C$52*Proyecto!$C$51*MAX(3,Referencia!M$139*0.35)</f>
        <v>0</v>
      </c>
    </row>
    <row r="344" customFormat="false" ht="15" hidden="false" customHeight="false" outlineLevel="0" collapsed="false">
      <c r="C344" s="8" t="s">
        <v>164</v>
      </c>
      <c r="D344" s="14" t="n">
        <f aca="false">IF(Captura_Zonas!P10&lt;=0,D294*Proyecto!$C$54*Proyecto!$C$53*MAX(2,Referencia!C$139*0.25),0)</f>
        <v>0</v>
      </c>
      <c r="E344" s="14" t="n">
        <f aca="false">IF(Captura_Zonas!P10&lt;=0,D294*Proyecto!$C$54*Proyecto!$C$53*MAX(2,Referencia!D$139*0.25),0)</f>
        <v>0</v>
      </c>
      <c r="F344" s="14" t="n">
        <f aca="false">IF(Captura_Zonas!P10&lt;=0,D294*Proyecto!$C$54*Proyecto!$C$53*MAX(2,Referencia!E$139*0.25),0)</f>
        <v>0</v>
      </c>
      <c r="G344" s="14" t="n">
        <f aca="false">IF(Captura_Zonas!P10&lt;=0,D294*Proyecto!$C$54*Proyecto!$C$53*MAX(2,Referencia!F$139*0.25),0)</f>
        <v>0</v>
      </c>
      <c r="H344" s="14" t="n">
        <f aca="false">IF(Captura_Zonas!P10&lt;=0,D294*Proyecto!$C$54*Proyecto!$C$53*MAX(2,Referencia!G$139*0.25),0)</f>
        <v>0</v>
      </c>
      <c r="I344" s="14" t="n">
        <f aca="false">IF(Captura_Zonas!P10&lt;=0,D294*Proyecto!$C$54*Proyecto!$C$53*MAX(2,Referencia!H$139*0.25),0)</f>
        <v>0</v>
      </c>
      <c r="J344" s="14" t="n">
        <f aca="false">IF(Captura_Zonas!P10&lt;=0,D294*Proyecto!$C$54*Proyecto!$C$53*MAX(2,Referencia!I$139*0.25),0)</f>
        <v>0</v>
      </c>
      <c r="K344" s="14" t="n">
        <f aca="false">IF(Captura_Zonas!P10&lt;=0,D294*Proyecto!$C$54*Proyecto!$C$53*MAX(2,Referencia!J$139*0.25),0)</f>
        <v>0</v>
      </c>
      <c r="L344" s="14" t="n">
        <f aca="false">IF(Captura_Zonas!P10&lt;=0,D294*Proyecto!$C$54*Proyecto!$C$53*MAX(2,Referencia!K$139*0.25),0)</f>
        <v>0</v>
      </c>
      <c r="M344" s="14" t="n">
        <f aca="false">IF(Captura_Zonas!P10&lt;=0,D294*Proyecto!$C$54*Proyecto!$C$53*MAX(2,Referencia!L$139*0.25),0)</f>
        <v>0</v>
      </c>
      <c r="N344" s="14" t="n">
        <f aca="false">IF(Captura_Zonas!P10&lt;=0,D294*Proyecto!$C$54*Proyecto!$C$53*MAX(2,Referencia!M$139*0.25),0)</f>
        <v>0</v>
      </c>
    </row>
    <row r="345" customFormat="false" ht="15" hidden="false" customHeight="false" outlineLevel="0" collapsed="false">
      <c r="C345" s="8" t="s">
        <v>165</v>
      </c>
      <c r="D345" s="14" t="n">
        <f aca="false">D326*Proyecto!$C$31*Referencia!C$139</f>
        <v>0</v>
      </c>
      <c r="E345" s="14" t="n">
        <f aca="false">D326*Proyecto!$C$31*Referencia!D$139</f>
        <v>0</v>
      </c>
      <c r="F345" s="14" t="n">
        <f aca="false">D326*Proyecto!$C$31*Referencia!E$139</f>
        <v>0</v>
      </c>
      <c r="G345" s="14" t="n">
        <f aca="false">D326*Proyecto!$C$31*Referencia!F$139</f>
        <v>0</v>
      </c>
      <c r="H345" s="14" t="n">
        <f aca="false">D326*Proyecto!$C$31*Referencia!G$139</f>
        <v>0</v>
      </c>
      <c r="I345" s="14" t="n">
        <f aca="false">D326*Proyecto!$C$31*Referencia!H$139</f>
        <v>0</v>
      </c>
      <c r="J345" s="14" t="n">
        <f aca="false">D326*Proyecto!$C$31*Referencia!I$139</f>
        <v>0</v>
      </c>
      <c r="K345" s="14" t="n">
        <f aca="false">D326*Proyecto!$C$31*Referencia!J$139</f>
        <v>0</v>
      </c>
      <c r="L345" s="14" t="n">
        <f aca="false">D326*Proyecto!$C$31*Referencia!K$139</f>
        <v>0</v>
      </c>
      <c r="M345" s="14" t="n">
        <f aca="false">D326*Proyecto!$C$31*Referencia!L$139</f>
        <v>0</v>
      </c>
      <c r="N345" s="14" t="n">
        <f aca="false">D326*Proyecto!$C$31*Referencia!M$139</f>
        <v>0</v>
      </c>
    </row>
    <row r="346" customFormat="false" ht="15" hidden="false" customHeight="false" outlineLevel="0" collapsed="false">
      <c r="C346" s="8" t="s">
        <v>166</v>
      </c>
      <c r="D346" s="14" t="n">
        <f aca="false">D330*Proyecto!$C$31*Referencia!C$139</f>
        <v>0</v>
      </c>
      <c r="E346" s="14" t="n">
        <f aca="false">D330*Proyecto!$C$31*Referencia!D$139</f>
        <v>0</v>
      </c>
      <c r="F346" s="14" t="n">
        <f aca="false">D330*Proyecto!$C$31*Referencia!E$139</f>
        <v>0</v>
      </c>
      <c r="G346" s="14" t="n">
        <f aca="false">D330*Proyecto!$C$31*Referencia!F$139</f>
        <v>0</v>
      </c>
      <c r="H346" s="14" t="n">
        <f aca="false">D330*Proyecto!$C$31*Referencia!G$139</f>
        <v>0</v>
      </c>
      <c r="I346" s="14" t="n">
        <f aca="false">D330*Proyecto!$C$31*Referencia!H$139</f>
        <v>0</v>
      </c>
      <c r="J346" s="14" t="n">
        <f aca="false">D330*Proyecto!$C$31*Referencia!I$139</f>
        <v>0</v>
      </c>
      <c r="K346" s="14" t="n">
        <f aca="false">D330*Proyecto!$C$31*Referencia!J$139</f>
        <v>0</v>
      </c>
      <c r="L346" s="14" t="n">
        <f aca="false">D330*Proyecto!$C$31*Referencia!K$139</f>
        <v>0</v>
      </c>
      <c r="M346" s="14" t="n">
        <f aca="false">D330*Proyecto!$C$31*Referencia!L$139</f>
        <v>0</v>
      </c>
      <c r="N346" s="14" t="n">
        <f aca="false">D330*Proyecto!$C$31*Referencia!M$139</f>
        <v>0</v>
      </c>
    </row>
    <row r="347" customFormat="false" ht="15" hidden="false" customHeight="false" outlineLevel="0" collapsed="false">
      <c r="C347" s="8" t="s">
        <v>167</v>
      </c>
      <c r="D347" s="14" t="n">
        <f aca="false">D339+D340+D341+D342+D343+D344+$D$322+$D$324+$D$325+D345</f>
        <v>0</v>
      </c>
      <c r="E347" s="14" t="n">
        <f aca="false">E339+E340+E341+E342+E343+E344+$D$322+$D$324+$D$325+E345</f>
        <v>0</v>
      </c>
      <c r="F347" s="14" t="n">
        <f aca="false">F339+F340+F341+F342+F343+F344+$D$322+$D$324+$D$325+F345</f>
        <v>0</v>
      </c>
      <c r="G347" s="14" t="n">
        <f aca="false">G339+G340+G341+G342+G343+G344+$D$322+$D$324+$D$325+G345</f>
        <v>0</v>
      </c>
      <c r="H347" s="14" t="n">
        <f aca="false">H339+H340+H341+H342+H343+H344+$D$322+$D$324+$D$325+H345</f>
        <v>0</v>
      </c>
      <c r="I347" s="14" t="n">
        <f aca="false">I339+I340+I341+I342+I343+I344+$D$322+$D$324+$D$325+I345</f>
        <v>0</v>
      </c>
      <c r="J347" s="14" t="n">
        <f aca="false">J339+J340+J341+J342+J343+J344+$D$322+$D$324+$D$325+J345</f>
        <v>0</v>
      </c>
      <c r="K347" s="14" t="n">
        <f aca="false">K339+K340+K341+K342+K343+K344+$D$322+$D$324+$D$325+K345</f>
        <v>0</v>
      </c>
      <c r="L347" s="14" t="n">
        <f aca="false">L339+L340+L341+L342+L343+L344+$D$322+$D$324+$D$325+L345</f>
        <v>0</v>
      </c>
      <c r="M347" s="14" t="n">
        <f aca="false">M339+M340+M341+M342+M343+M344+$D$322+$D$324+$D$325+M345</f>
        <v>0</v>
      </c>
      <c r="N347" s="14" t="n">
        <f aca="false">N339+N340+N341+N342+N343+N344+$D$322+$D$324+$D$325+N345</f>
        <v>0</v>
      </c>
    </row>
    <row r="348" customFormat="false" ht="15" hidden="false" customHeight="false" outlineLevel="0" collapsed="false">
      <c r="C348" s="8" t="s">
        <v>168</v>
      </c>
      <c r="D348" s="14" t="n">
        <f aca="false">D347*Proyecto!$C$42</f>
        <v>0</v>
      </c>
      <c r="E348" s="14" t="n">
        <f aca="false">E347*Proyecto!$C$42</f>
        <v>0</v>
      </c>
      <c r="F348" s="14" t="n">
        <f aca="false">F347*Proyecto!$C$42</f>
        <v>0</v>
      </c>
      <c r="G348" s="14" t="n">
        <f aca="false">G347*Proyecto!$C$42</f>
        <v>0</v>
      </c>
      <c r="H348" s="14" t="n">
        <f aca="false">H347*Proyecto!$C$42</f>
        <v>0</v>
      </c>
      <c r="I348" s="14" t="n">
        <f aca="false">I347*Proyecto!$C$42</f>
        <v>0</v>
      </c>
      <c r="J348" s="14" t="n">
        <f aca="false">J347*Proyecto!$C$42</f>
        <v>0</v>
      </c>
      <c r="K348" s="14" t="n">
        <f aca="false">K347*Proyecto!$C$42</f>
        <v>0</v>
      </c>
      <c r="L348" s="14" t="n">
        <f aca="false">L347*Proyecto!$C$42</f>
        <v>0</v>
      </c>
      <c r="M348" s="14" t="n">
        <f aca="false">M347*Proyecto!$C$42</f>
        <v>0</v>
      </c>
      <c r="N348" s="14" t="n">
        <f aca="false">N347*Proyecto!$C$42</f>
        <v>0</v>
      </c>
    </row>
    <row r="349" customFormat="false" ht="15" hidden="false" customHeight="false" outlineLevel="0" collapsed="false">
      <c r="C349" s="8" t="s">
        <v>169</v>
      </c>
      <c r="D349" s="14" t="n">
        <f aca="false">D347*Proyecto!$C$43</f>
        <v>0</v>
      </c>
      <c r="E349" s="14" t="n">
        <f aca="false">E347*Proyecto!$C$43</f>
        <v>0</v>
      </c>
      <c r="F349" s="14" t="n">
        <f aca="false">F347*Proyecto!$C$43</f>
        <v>0</v>
      </c>
      <c r="G349" s="14" t="n">
        <f aca="false">G347*Proyecto!$C$43</f>
        <v>0</v>
      </c>
      <c r="H349" s="14" t="n">
        <f aca="false">H347*Proyecto!$C$43</f>
        <v>0</v>
      </c>
      <c r="I349" s="14" t="n">
        <f aca="false">I347*Proyecto!$C$43</f>
        <v>0</v>
      </c>
      <c r="J349" s="14" t="n">
        <f aca="false">J347*Proyecto!$C$43</f>
        <v>0</v>
      </c>
      <c r="K349" s="14" t="n">
        <f aca="false">K347*Proyecto!$C$43</f>
        <v>0</v>
      </c>
      <c r="L349" s="14" t="n">
        <f aca="false">L347*Proyecto!$C$43</f>
        <v>0</v>
      </c>
      <c r="M349" s="14" t="n">
        <f aca="false">M347*Proyecto!$C$43</f>
        <v>0</v>
      </c>
      <c r="N349" s="14" t="n">
        <f aca="false">N347*Proyecto!$C$43</f>
        <v>0</v>
      </c>
    </row>
    <row r="350" customFormat="false" ht="15" hidden="false" customHeight="false" outlineLevel="0" collapsed="false">
      <c r="C350" s="8" t="s">
        <v>170</v>
      </c>
      <c r="D350" s="14" t="n">
        <f aca="false">(D347+D348+D349)*Proyecto!$C$39</f>
        <v>0</v>
      </c>
      <c r="E350" s="14" t="n">
        <f aca="false">(E347+E348+E349)*Proyecto!$C$39</f>
        <v>0</v>
      </c>
      <c r="F350" s="14" t="n">
        <f aca="false">(F347+F348+F349)*Proyecto!$C$39</f>
        <v>0</v>
      </c>
      <c r="G350" s="14" t="n">
        <f aca="false">(G347+G348+G349)*Proyecto!$C$39</f>
        <v>0</v>
      </c>
      <c r="H350" s="14" t="n">
        <f aca="false">(H347+H348+H349)*Proyecto!$C$39</f>
        <v>0</v>
      </c>
      <c r="I350" s="14" t="n">
        <f aca="false">(I347+I348+I349)*Proyecto!$C$39</f>
        <v>0</v>
      </c>
      <c r="J350" s="14" t="n">
        <f aca="false">(J347+J348+J349)*Proyecto!$C$39</f>
        <v>0</v>
      </c>
      <c r="K350" s="14" t="n">
        <f aca="false">(K347+K348+K349)*Proyecto!$C$39</f>
        <v>0</v>
      </c>
      <c r="L350" s="14" t="n">
        <f aca="false">(L347+L348+L349)*Proyecto!$C$39</f>
        <v>0</v>
      </c>
      <c r="M350" s="14" t="n">
        <f aca="false">(M347+M348+M349)*Proyecto!$C$39</f>
        <v>0</v>
      </c>
      <c r="N350" s="14" t="n">
        <f aca="false">(N347+N348+N349)*Proyecto!$C$39</f>
        <v>0</v>
      </c>
    </row>
    <row r="351" customFormat="false" ht="15" hidden="false" customHeight="false" outlineLevel="0" collapsed="false">
      <c r="C351" s="8" t="s">
        <v>171</v>
      </c>
      <c r="D351" s="14" t="n">
        <f aca="false">D347+D348+D349+D350</f>
        <v>0</v>
      </c>
      <c r="E351" s="14" t="n">
        <f aca="false">E347+E348+E349+E350</f>
        <v>0</v>
      </c>
      <c r="F351" s="14" t="n">
        <f aca="false">F347+F348+F349+F350</f>
        <v>0</v>
      </c>
      <c r="G351" s="14" t="n">
        <f aca="false">G347+G348+G349+G350</f>
        <v>0</v>
      </c>
      <c r="H351" s="14" t="n">
        <f aca="false">H347+H348+H349+H350</f>
        <v>0</v>
      </c>
      <c r="I351" s="14" t="n">
        <f aca="false">I347+I348+I349+I350</f>
        <v>0</v>
      </c>
      <c r="J351" s="14" t="n">
        <f aca="false">J347+J348+J349+J350</f>
        <v>0</v>
      </c>
      <c r="K351" s="14" t="n">
        <f aca="false">K347+K348+K349+K350</f>
        <v>0</v>
      </c>
      <c r="L351" s="14" t="n">
        <f aca="false">L347+L348+L349+L350</f>
        <v>0</v>
      </c>
      <c r="M351" s="14" t="n">
        <f aca="false">M347+M348+M349+M350</f>
        <v>0</v>
      </c>
      <c r="N351" s="14" t="n">
        <f aca="false">N347+N348+N349+N350</f>
        <v>0</v>
      </c>
    </row>
    <row r="352" customFormat="false" ht="15" hidden="false" customHeight="false" outlineLevel="0" collapsed="false">
      <c r="C352" s="8" t="s">
        <v>172</v>
      </c>
      <c r="D352" s="14" t="n">
        <f aca="false">D351+D346</f>
        <v>0</v>
      </c>
      <c r="E352" s="14" t="n">
        <f aca="false">E351+E346</f>
        <v>0</v>
      </c>
      <c r="F352" s="14" t="n">
        <f aca="false">F351+F346</f>
        <v>0</v>
      </c>
      <c r="G352" s="14" t="n">
        <f aca="false">G351+G346</f>
        <v>0</v>
      </c>
      <c r="H352" s="14" t="n">
        <f aca="false">H351+H346</f>
        <v>0</v>
      </c>
      <c r="I352" s="14" t="n">
        <f aca="false">I351+I346</f>
        <v>0</v>
      </c>
      <c r="J352" s="14" t="n">
        <f aca="false">J351+J346</f>
        <v>0</v>
      </c>
      <c r="K352" s="14" t="n">
        <f aca="false">K351+K346</f>
        <v>0</v>
      </c>
      <c r="L352" s="14" t="n">
        <f aca="false">L351+L346</f>
        <v>0</v>
      </c>
      <c r="M352" s="14" t="n">
        <f aca="false">M351+M346</f>
        <v>0</v>
      </c>
      <c r="N352" s="14" t="n">
        <f aca="false">N351+N346</f>
        <v>0</v>
      </c>
    </row>
    <row r="353" customFormat="false" ht="15" hidden="false" customHeight="false" outlineLevel="0" collapsed="false">
      <c r="C353" s="38" t="s">
        <v>173</v>
      </c>
      <c r="D353" s="36" t="n">
        <f aca="false">D352+$D$336</f>
        <v>0</v>
      </c>
      <c r="E353" s="36" t="n">
        <f aca="false">E352+$D$336</f>
        <v>0</v>
      </c>
      <c r="F353" s="36" t="n">
        <f aca="false">F352+$D$336</f>
        <v>0</v>
      </c>
      <c r="G353" s="36" t="n">
        <f aca="false">G352+$D$336</f>
        <v>0</v>
      </c>
      <c r="H353" s="36" t="n">
        <f aca="false">H352+$D$336</f>
        <v>0</v>
      </c>
      <c r="I353" s="36" t="n">
        <f aca="false">I352+$D$336</f>
        <v>0</v>
      </c>
      <c r="J353" s="36" t="n">
        <f aca="false">J352+$D$336</f>
        <v>0</v>
      </c>
      <c r="K353" s="36" t="n">
        <f aca="false">K352+$D$336</f>
        <v>0</v>
      </c>
      <c r="L353" s="36" t="n">
        <f aca="false">L352+$D$336</f>
        <v>0</v>
      </c>
      <c r="M353" s="36" t="n">
        <f aca="false">M352+$D$336</f>
        <v>0</v>
      </c>
      <c r="N353" s="36" t="n">
        <f aca="false">N352+$D$336</f>
        <v>0</v>
      </c>
    </row>
    <row r="354" customFormat="false" ht="15" hidden="false" customHeight="false" outlineLevel="0" collapsed="false">
      <c r="C354" s="8" t="s">
        <v>174</v>
      </c>
      <c r="D354" s="15" t="n">
        <f aca="false">D353/Proyecto!$C$48</f>
        <v>0</v>
      </c>
      <c r="E354" s="15" t="n">
        <f aca="false">E353/Proyecto!$C$48</f>
        <v>0</v>
      </c>
      <c r="F354" s="15" t="n">
        <f aca="false">F353/Proyecto!$C$48</f>
        <v>0</v>
      </c>
      <c r="G354" s="15" t="n">
        <f aca="false">G353/Proyecto!$C$48</f>
        <v>0</v>
      </c>
      <c r="H354" s="15" t="n">
        <f aca="false">H353/Proyecto!$C$48</f>
        <v>0</v>
      </c>
      <c r="I354" s="15" t="n">
        <f aca="false">I353/Proyecto!$C$48</f>
        <v>0</v>
      </c>
      <c r="J354" s="15" t="n">
        <f aca="false">J353/Proyecto!$C$48</f>
        <v>0</v>
      </c>
      <c r="K354" s="15" t="n">
        <f aca="false">K353/Proyecto!$C$48</f>
        <v>0</v>
      </c>
      <c r="L354" s="15" t="n">
        <f aca="false">L353/Proyecto!$C$48</f>
        <v>0</v>
      </c>
      <c r="M354" s="15" t="n">
        <f aca="false">M353/Proyecto!$C$48</f>
        <v>0</v>
      </c>
      <c r="N354" s="15" t="n">
        <f aca="false">N353/Proyecto!$C$48</f>
        <v>0</v>
      </c>
    </row>
    <row r="356" customFormat="false" ht="15" hidden="false" customHeight="false" outlineLevel="0" collapsed="false">
      <c r="C356" s="8" t="s">
        <v>175</v>
      </c>
      <c r="D356" s="36" t="n">
        <f aca="false">MAX(D353:N353)</f>
        <v>0</v>
      </c>
    </row>
    <row r="357" customFormat="false" ht="15" hidden="false" customHeight="false" outlineLevel="0" collapsed="false">
      <c r="C357" s="8" t="s">
        <v>176</v>
      </c>
      <c r="D357" s="14" t="n">
        <f aca="false">INDEX(D338:N338,MATCH(D356,D353:N353,0))</f>
        <v>8</v>
      </c>
    </row>
    <row r="358" customFormat="false" ht="15" hidden="false" customHeight="false" outlineLevel="0" collapsed="false">
      <c r="C358" s="8" t="s">
        <v>177</v>
      </c>
      <c r="D358" s="14" t="n">
        <f aca="false">INDEX(D351:N351,MATCH(D356,D353:N353,0))</f>
        <v>0</v>
      </c>
    </row>
    <row r="359" customFormat="false" ht="15" hidden="false" customHeight="false" outlineLevel="0" collapsed="false">
      <c r="C359" s="8" t="s">
        <v>178</v>
      </c>
      <c r="D359" s="14" t="n">
        <f aca="false">INDEX(D352:N352,MATCH(D356,D353:N353,0))</f>
        <v>0</v>
      </c>
    </row>
    <row r="360" customFormat="false" ht="15" hidden="false" customHeight="false" outlineLevel="0" collapsed="false">
      <c r="C360" s="8" t="s">
        <v>179</v>
      </c>
      <c r="D360" s="15" t="n">
        <f aca="false">D356/Proyecto!$C$48</f>
        <v>0</v>
      </c>
    </row>
    <row r="361" customFormat="false" ht="15" hidden="false" customHeight="false" outlineLevel="0" collapsed="false">
      <c r="C361" s="8" t="s">
        <v>180</v>
      </c>
      <c r="D361" s="15" t="n">
        <f aca="false">D356/1000</f>
        <v>0</v>
      </c>
    </row>
    <row r="362" customFormat="false" ht="15" hidden="false" customHeight="false" outlineLevel="0" collapsed="false">
      <c r="C362" s="8" t="s">
        <v>181</v>
      </c>
      <c r="D362" s="14" t="n">
        <f aca="false">(D358/(Proyecto!$C$31*Proyecto!$C$41))/1.699</f>
        <v>0</v>
      </c>
    </row>
    <row r="365" customFormat="false" ht="15" hidden="false" customHeight="false" outlineLevel="0" collapsed="false">
      <c r="C365" s="34" t="str">
        <f aca="false">Captura_Zonas!B11</f>
        <v>Zona 6</v>
      </c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</row>
    <row r="366" customFormat="false" ht="15" hidden="false" customHeight="false" outlineLevel="0" collapsed="false">
      <c r="C366" s="8" t="s">
        <v>61</v>
      </c>
      <c r="D366" s="15" t="n">
        <f aca="false">Captura_Zonas!C11</f>
        <v>0</v>
      </c>
    </row>
    <row r="367" customFormat="false" ht="15" hidden="false" customHeight="false" outlineLevel="0" collapsed="false">
      <c r="C367" s="8" t="s">
        <v>62</v>
      </c>
      <c r="D367" s="15" t="n">
        <f aca="false">MAX(0.1,Captura_Zonas!D11)</f>
        <v>0.1</v>
      </c>
    </row>
    <row r="368" customFormat="false" ht="15" hidden="false" customHeight="false" outlineLevel="0" collapsed="false">
      <c r="C368" s="8" t="s">
        <v>118</v>
      </c>
      <c r="D368" s="13" t="n">
        <f aca="false">D366*D367</f>
        <v>0</v>
      </c>
    </row>
    <row r="369" customFormat="false" ht="15" hidden="false" customHeight="false" outlineLevel="0" collapsed="false">
      <c r="C369" s="8" t="s">
        <v>63</v>
      </c>
      <c r="D369" s="8" t="str">
        <f aca="false">Captura_Zonas!E11</f>
        <v>Oficina</v>
      </c>
    </row>
    <row r="370" customFormat="false" ht="15" hidden="false" customHeight="false" outlineLevel="0" collapsed="false">
      <c r="C370" s="8" t="s">
        <v>119</v>
      </c>
      <c r="D370" s="14" t="n">
        <f aca="false">Captura_Zonas!F11</f>
        <v>16</v>
      </c>
    </row>
    <row r="371" customFormat="false" ht="15" hidden="false" customHeight="false" outlineLevel="0" collapsed="false">
      <c r="C371" s="8" t="s">
        <v>120</v>
      </c>
      <c r="D371" s="13" t="n">
        <f aca="false">INDEX(Referencia!$C$79:$C$88,MATCH(D369,Referencia!$B$79:$B$88,0))</f>
        <v>2.5</v>
      </c>
    </row>
    <row r="372" customFormat="false" ht="15" hidden="false" customHeight="false" outlineLevel="0" collapsed="false">
      <c r="C372" s="8" t="s">
        <v>121</v>
      </c>
      <c r="D372" s="15" t="n">
        <f aca="false">INDEX(Referencia!$D$79:$D$88,MATCH(D369,Referencia!$B$79:$B$88,0))</f>
        <v>0.3</v>
      </c>
    </row>
    <row r="373" customFormat="false" ht="15" hidden="false" customHeight="false" outlineLevel="0" collapsed="false">
      <c r="C373" s="8" t="s">
        <v>122</v>
      </c>
      <c r="D373" s="15" t="n">
        <f aca="false">INDEX(Referencia!$E$79:$E$88,MATCH(D369,Referencia!$B$79:$B$88,0))</f>
        <v>0.9</v>
      </c>
    </row>
    <row r="374" customFormat="false" ht="15" hidden="false" customHeight="false" outlineLevel="0" collapsed="false">
      <c r="C374" s="8" t="s">
        <v>123</v>
      </c>
      <c r="D374" s="15" t="n">
        <f aca="false">INDEX(Referencia!$F$79:$F$88,MATCH(D369,Referencia!$B$79:$B$88,0))</f>
        <v>0.95</v>
      </c>
    </row>
    <row r="375" customFormat="false" ht="15" hidden="false" customHeight="false" outlineLevel="0" collapsed="false">
      <c r="C375" s="8" t="s">
        <v>124</v>
      </c>
      <c r="D375" s="15" t="n">
        <f aca="false">INDEX(Referencia!$G$79:$G$88,MATCH(D369,Referencia!$B$79:$B$88,0))</f>
        <v>0.9</v>
      </c>
    </row>
    <row r="376" customFormat="false" ht="15" hidden="false" customHeight="false" outlineLevel="0" collapsed="false">
      <c r="C376" s="8" t="s">
        <v>125</v>
      </c>
      <c r="D376" s="16" t="n">
        <f aca="false">INDEX(Referencia!$C$15:$C$43,MATCH(Captura_Zonas!G11,Referencia!$B$15:$B$43,0))</f>
        <v>0.849</v>
      </c>
    </row>
    <row r="377" customFormat="false" ht="15" hidden="false" customHeight="false" outlineLevel="0" collapsed="false">
      <c r="C377" s="8" t="s">
        <v>126</v>
      </c>
      <c r="D377" s="14" t="n">
        <f aca="false">INDEX(Referencia!$D$15:$D$43,MATCH(Captura_Zonas!G11,Referencia!$B$15:$B$43,0))</f>
        <v>176</v>
      </c>
    </row>
    <row r="378" customFormat="false" ht="15" hidden="false" customHeight="false" outlineLevel="0" collapsed="false">
      <c r="C378" s="8" t="s">
        <v>127</v>
      </c>
      <c r="D378" s="16" t="n">
        <f aca="false">INDEX(Referencia!$C$47:$C$60,MATCH(Captura_Zonas!Q11,Referencia!$B$47:$B$60,0))</f>
        <v>0.55</v>
      </c>
    </row>
    <row r="379" customFormat="false" ht="15" hidden="false" customHeight="false" outlineLevel="0" collapsed="false">
      <c r="C379" s="8" t="s">
        <v>128</v>
      </c>
      <c r="D379" s="14" t="n">
        <f aca="false">INDEX(Referencia!$D$47:$D$60,MATCH(Captura_Zonas!Q11,Referencia!$B$47:$B$60,0))</f>
        <v>320</v>
      </c>
    </row>
    <row r="380" customFormat="false" ht="15" hidden="false" customHeight="false" outlineLevel="0" collapsed="false">
      <c r="C380" s="8" t="s">
        <v>129</v>
      </c>
      <c r="D380" s="15" t="n">
        <f aca="false">INDEX(Referencia!$C$64:$C$75,MATCH(Captura_Zonas!R11,Referencia!$B$64:$B$75,0))</f>
        <v>2.8</v>
      </c>
    </row>
    <row r="381" customFormat="false" ht="15" hidden="false" customHeight="false" outlineLevel="0" collapsed="false">
      <c r="C381" s="8" t="s">
        <v>130</v>
      </c>
      <c r="D381" s="15" t="n">
        <f aca="false">INDEX(Referencia!$E$64:$E$75,MATCH(Captura_Zonas!R11,Referencia!$B$64:$B$75,0))</f>
        <v>0.7</v>
      </c>
    </row>
    <row r="382" customFormat="false" ht="15" hidden="false" customHeight="false" outlineLevel="0" collapsed="false">
      <c r="C382" s="8" t="s">
        <v>131</v>
      </c>
      <c r="D382" s="13" t="n">
        <f aca="false">IF(D366&gt;0,((Captura_Zonas!H11+Captura_Zonas!I11+Captura_Zonas!J11+Captura_Zonas!K11+Captura_Zonas!L11+Captura_Zonas!M11+Captura_Zonas!N11+Captura_Zonas!O11)*D377+Captura_Zonas!P11*D379+(Captura_Zonas!S11+Captura_Zonas!T11+Captura_Zonas!U11+Captura_Zonas!V11+Captura_Zonas!W11+Captura_Zonas!X11+Captura_Zonas!Y11+Captura_Zonas!Z11)*25)/D366,200)</f>
        <v>200</v>
      </c>
    </row>
    <row r="383" customFormat="false" ht="15" hidden="false" customHeight="false" outlineLevel="0" collapsed="false">
      <c r="C383" s="8" t="s">
        <v>132</v>
      </c>
      <c r="D383" s="8" t="str">
        <f aca="false">IF(D382&lt;150,"Ligera",IF(D382&lt;350,"Media","Pesada"))</f>
        <v>Media</v>
      </c>
    </row>
    <row r="384" customFormat="false" ht="15" hidden="false" customHeight="false" outlineLevel="0" collapsed="false">
      <c r="C384" s="8" t="s">
        <v>133</v>
      </c>
      <c r="D384" s="13" t="n">
        <f aca="false">MAX(0,Captura_Zonas!AG11)</f>
        <v>0</v>
      </c>
    </row>
    <row r="385" customFormat="false" ht="15" hidden="false" customHeight="false" outlineLevel="0" collapsed="false">
      <c r="C385" s="8" t="s">
        <v>134</v>
      </c>
      <c r="D385" s="16" t="n">
        <f aca="false">IF(D384&lt;=0,1,MAX(0.75,1-D384*IF(D383="Pesada",0.04,IF(D383="Media",0.03,0.02))*2.5))</f>
        <v>1</v>
      </c>
    </row>
    <row r="386" customFormat="false" ht="15" hidden="false" customHeight="false" outlineLevel="0" collapsed="false">
      <c r="C386" s="8" t="s">
        <v>135</v>
      </c>
      <c r="D386" s="16" t="n">
        <f aca="false">INDEX(Referencia!$C$92:$E$94,MATCH(D370,Referencia!$B$92:$B$94,0),MATCH(D383,{"Ligera","Media","Pesada"},0))*D385</f>
        <v>0.66</v>
      </c>
    </row>
    <row r="387" customFormat="false" ht="15" hidden="false" customHeight="false" outlineLevel="0" collapsed="false">
      <c r="C387" s="8" t="s">
        <v>136</v>
      </c>
      <c r="D387" s="16" t="n">
        <f aca="false">INDEX(Referencia!$C$98:$E$100,MATCH(D370,Referencia!$B$98:$B$100,0),MATCH(D383,{"Ligera","Media","Pesada"},0))*D385</f>
        <v>0.7</v>
      </c>
    </row>
    <row r="388" customFormat="false" ht="15" hidden="false" customHeight="false" outlineLevel="0" collapsed="false">
      <c r="C388" s="8" t="s">
        <v>137</v>
      </c>
      <c r="D388" s="15" t="n">
        <f aca="false">INDEX(Referencia!$C$104:$C$106,MATCH(D370,Referencia!$B$104:$B$106,0))</f>
        <v>0.9</v>
      </c>
    </row>
    <row r="389" customFormat="false" ht="15" hidden="false" customHeight="false" outlineLevel="0" collapsed="false">
      <c r="C389" s="8" t="s">
        <v>138</v>
      </c>
      <c r="D389" s="15" t="n">
        <f aca="false">INDEX(Referencia!$D$104:$D$106,MATCH(D370,Referencia!$B$104:$B$106,0))</f>
        <v>0.9</v>
      </c>
    </row>
    <row r="390" customFormat="false" ht="15" hidden="false" customHeight="false" outlineLevel="0" collapsed="false">
      <c r="C390" s="8" t="s">
        <v>139</v>
      </c>
      <c r="D390" s="15" t="n">
        <f aca="false">IF(Captura_Zonas!AC11="Fluorescente",1.2,1)</f>
        <v>1</v>
      </c>
    </row>
    <row r="391" customFormat="false" ht="15" hidden="false" customHeight="false" outlineLevel="0" collapsed="false">
      <c r="C391" s="8" t="s">
        <v>140</v>
      </c>
      <c r="D391" s="35" t="b">
        <f aca="false">IF(Captura_Zonas!AF11="Auto",D367&gt;=3.5,Captura_Zonas!AF11="Sí")</f>
        <v>0</v>
      </c>
    </row>
    <row r="392" customFormat="false" ht="15" hidden="false" customHeight="false" outlineLevel="0" collapsed="false">
      <c r="C392" s="8" t="s">
        <v>141</v>
      </c>
      <c r="D392" s="15" t="n">
        <f aca="false">IF(D367&lt;=3.2,1,IF(AND(D391,D367&gt;=4),0.7,IF(D367&gt;=5,0.75,IF(D367&gt;=4,0.85,0.92))))</f>
        <v>1</v>
      </c>
    </row>
    <row r="393" customFormat="false" ht="15" hidden="false" customHeight="false" outlineLevel="0" collapsed="false">
      <c r="C393" s="8" t="s">
        <v>142</v>
      </c>
      <c r="D393" s="14" t="n">
        <f aca="false">MAX(0,ROUND(Captura_Zonas!AA11,0))</f>
        <v>0</v>
      </c>
    </row>
    <row r="394" customFormat="false" ht="15" hidden="false" customHeight="false" outlineLevel="0" collapsed="false">
      <c r="C394" s="8" t="s">
        <v>143</v>
      </c>
      <c r="D394" s="14" t="n">
        <f aca="false">D393*Proyecto!$C$44*D388*D373*Proyecto!$C$38</f>
        <v>0</v>
      </c>
    </row>
    <row r="395" customFormat="false" ht="15" hidden="false" customHeight="false" outlineLevel="0" collapsed="false">
      <c r="C395" s="8" t="s">
        <v>144</v>
      </c>
      <c r="D395" s="14" t="n">
        <f aca="false">D393*Proyecto!$C$45*D373*Proyecto!$C$38</f>
        <v>0</v>
      </c>
    </row>
    <row r="396" customFormat="false" ht="15" hidden="false" customHeight="false" outlineLevel="0" collapsed="false">
      <c r="C396" s="8" t="s">
        <v>145</v>
      </c>
      <c r="D396" s="14" t="n">
        <f aca="false">MAX(0,Captura_Zonas!AB11)*D390*D387*D374*Proyecto!$C$38*D392</f>
        <v>0</v>
      </c>
    </row>
    <row r="397" customFormat="false" ht="15" hidden="false" customHeight="false" outlineLevel="0" collapsed="false">
      <c r="C397" s="8" t="s">
        <v>146</v>
      </c>
      <c r="D397" s="14" t="n">
        <f aca="false">MAX(0,Captura_Zonas!AD11)*D389*D375*Proyecto!$C$38</f>
        <v>0</v>
      </c>
    </row>
    <row r="398" customFormat="false" ht="15" hidden="false" customHeight="false" outlineLevel="0" collapsed="false">
      <c r="C398" s="8" t="s">
        <v>147</v>
      </c>
      <c r="D398" s="14" t="n">
        <f aca="false">D368*MAX(0,Captura_Zonas!AE11)</f>
        <v>0</v>
      </c>
    </row>
    <row r="399" customFormat="false" ht="15" hidden="false" customHeight="false" outlineLevel="0" collapsed="false">
      <c r="C399" s="8" t="s">
        <v>148</v>
      </c>
      <c r="D399" s="14" t="n">
        <f aca="false">(D371*D393+D372*D366)*3.6</f>
        <v>0</v>
      </c>
    </row>
    <row r="400" customFormat="false" ht="15" hidden="false" customHeight="false" outlineLevel="0" collapsed="false">
      <c r="C400" s="8" t="s">
        <v>149</v>
      </c>
      <c r="D400" s="14" t="n">
        <f aca="false">D393*Proyecto!$C$46</f>
        <v>0</v>
      </c>
    </row>
    <row r="401" customFormat="false" ht="15" hidden="false" customHeight="false" outlineLevel="0" collapsed="false">
      <c r="C401" s="8" t="s">
        <v>150</v>
      </c>
      <c r="D401" s="14" t="n">
        <f aca="false">D366*Proyecto!$C$47</f>
        <v>0</v>
      </c>
    </row>
    <row r="402" customFormat="false" ht="15" hidden="false" customHeight="false" outlineLevel="0" collapsed="false">
      <c r="C402" s="8" t="s">
        <v>151</v>
      </c>
      <c r="D402" s="14" t="n">
        <f aca="false">MAX(D399,D400,D401,0)</f>
        <v>0</v>
      </c>
    </row>
    <row r="403" customFormat="false" ht="15" hidden="false" customHeight="false" outlineLevel="0" collapsed="false">
      <c r="C403" s="8" t="s">
        <v>152</v>
      </c>
      <c r="D403" s="14" t="n">
        <f aca="false">D398*Proyecto!$C$32*Referencia!$C$179</f>
        <v>0</v>
      </c>
    </row>
    <row r="404" customFormat="false" ht="15" hidden="false" customHeight="false" outlineLevel="0" collapsed="false">
      <c r="C404" s="8" t="s">
        <v>153</v>
      </c>
      <c r="D404" s="14" t="n">
        <f aca="false">D402*Proyecto!$C$32*Referencia!$C$179</f>
        <v>0</v>
      </c>
    </row>
    <row r="405" customFormat="false" ht="15" hidden="false" customHeight="false" outlineLevel="0" collapsed="false">
      <c r="C405" s="8" t="s">
        <v>154</v>
      </c>
      <c r="D405" s="14" t="n">
        <f aca="false">D395+D403</f>
        <v>0</v>
      </c>
    </row>
    <row r="406" customFormat="false" ht="15" hidden="false" customHeight="false" outlineLevel="0" collapsed="false">
      <c r="C406" s="8" t="s">
        <v>155</v>
      </c>
      <c r="D406" s="14" t="n">
        <f aca="false">D405*Proyecto!$C$39</f>
        <v>0</v>
      </c>
    </row>
    <row r="407" customFormat="false" ht="15" hidden="false" customHeight="false" outlineLevel="0" collapsed="false">
      <c r="C407" s="8" t="s">
        <v>156</v>
      </c>
      <c r="D407" s="14" t="n">
        <f aca="false">D405+D406</f>
        <v>0</v>
      </c>
    </row>
    <row r="408" customFormat="false" ht="15" hidden="false" customHeight="false" outlineLevel="0" collapsed="false">
      <c r="C408" s="8" t="s">
        <v>157</v>
      </c>
      <c r="D408" s="36" t="n">
        <f aca="false">D407+D404</f>
        <v>0</v>
      </c>
    </row>
    <row r="410" customFormat="false" ht="15" hidden="false" customHeight="false" outlineLevel="0" collapsed="false">
      <c r="C410" s="34" t="s">
        <v>158</v>
      </c>
      <c r="D410" s="37" t="n">
        <f aca="false">Referencia!C$132</f>
        <v>8</v>
      </c>
      <c r="E410" s="37" t="n">
        <f aca="false">Referencia!D$132</f>
        <v>9</v>
      </c>
      <c r="F410" s="37" t="n">
        <f aca="false">Referencia!E$132</f>
        <v>10</v>
      </c>
      <c r="G410" s="37" t="n">
        <f aca="false">Referencia!F$132</f>
        <v>11</v>
      </c>
      <c r="H410" s="37" t="n">
        <f aca="false">Referencia!G$132</f>
        <v>12</v>
      </c>
      <c r="I410" s="37" t="n">
        <f aca="false">Referencia!H$132</f>
        <v>13</v>
      </c>
      <c r="J410" s="37" t="n">
        <f aca="false">Referencia!I$132</f>
        <v>14</v>
      </c>
      <c r="K410" s="37" t="n">
        <f aca="false">Referencia!J$132</f>
        <v>15</v>
      </c>
      <c r="L410" s="37" t="n">
        <f aca="false">Referencia!K$132</f>
        <v>16</v>
      </c>
      <c r="M410" s="37" t="n">
        <f aca="false">Referencia!L$132</f>
        <v>17</v>
      </c>
      <c r="N410" s="37" t="n">
        <f aca="false">Referencia!M$132</f>
        <v>18</v>
      </c>
    </row>
    <row r="411" customFormat="false" ht="15" hidden="false" customHeight="false" outlineLevel="0" collapsed="false">
      <c r="C411" s="8" t="s">
        <v>159</v>
      </c>
      <c r="D411" s="14" t="n">
        <f aca="false">D376*SUMPRODUCT(Captura_Zonas!$H$11:$O$11,Referencia!$C$158:$J$158)</f>
        <v>0</v>
      </c>
      <c r="E411" s="14" t="n">
        <f aca="false">D376*SUMPRODUCT(Captura_Zonas!$H$11:$O$11,Referencia!$C$159:$J$159)</f>
        <v>0</v>
      </c>
      <c r="F411" s="14" t="n">
        <f aca="false">D376*SUMPRODUCT(Captura_Zonas!$H$11:$O$11,Referencia!$C$160:$J$160)</f>
        <v>0</v>
      </c>
      <c r="G411" s="14" t="n">
        <f aca="false">D376*SUMPRODUCT(Captura_Zonas!$H$11:$O$11,Referencia!$C$161:$J$161)</f>
        <v>0</v>
      </c>
      <c r="H411" s="14" t="n">
        <f aca="false">D376*SUMPRODUCT(Captura_Zonas!$H$11:$O$11,Referencia!$C$162:$J$162)</f>
        <v>0</v>
      </c>
      <c r="I411" s="14" t="n">
        <f aca="false">D376*SUMPRODUCT(Captura_Zonas!$H$11:$O$11,Referencia!$C$163:$J$163)</f>
        <v>0</v>
      </c>
      <c r="J411" s="14" t="n">
        <f aca="false">D376*SUMPRODUCT(Captura_Zonas!$H$11:$O$11,Referencia!$C$164:$J$164)</f>
        <v>0</v>
      </c>
      <c r="K411" s="14" t="n">
        <f aca="false">D376*SUMPRODUCT(Captura_Zonas!$H$11:$O$11,Referencia!$C$165:$J$165)</f>
        <v>0</v>
      </c>
      <c r="L411" s="14" t="n">
        <f aca="false">D376*SUMPRODUCT(Captura_Zonas!$H$11:$O$11,Referencia!$C$166:$J$166)</f>
        <v>0</v>
      </c>
      <c r="M411" s="14" t="n">
        <f aca="false">D376*SUMPRODUCT(Captura_Zonas!$H$11:$O$11,Referencia!$C$167:$J$167)</f>
        <v>0</v>
      </c>
      <c r="N411" s="14" t="n">
        <f aca="false">D376*SUMPRODUCT(Captura_Zonas!$H$11:$O$11,Referencia!$C$168:$J$168)</f>
        <v>0</v>
      </c>
    </row>
    <row r="412" customFormat="false" ht="15" hidden="false" customHeight="false" outlineLevel="0" collapsed="false">
      <c r="C412" s="8" t="s">
        <v>160</v>
      </c>
      <c r="D412" s="14" t="n">
        <f aca="false">D378*Captura_Zonas!P11*Referencia!C$171</f>
        <v>0</v>
      </c>
      <c r="E412" s="14" t="n">
        <f aca="false">D378*Captura_Zonas!P11*Referencia!D$171</f>
        <v>0</v>
      </c>
      <c r="F412" s="14" t="n">
        <f aca="false">D378*Captura_Zonas!P11*Referencia!E$171</f>
        <v>0</v>
      </c>
      <c r="G412" s="14" t="n">
        <f aca="false">D378*Captura_Zonas!P11*Referencia!F$171</f>
        <v>0</v>
      </c>
      <c r="H412" s="14" t="n">
        <f aca="false">D378*Captura_Zonas!P11*Referencia!G$171</f>
        <v>0</v>
      </c>
      <c r="I412" s="14" t="n">
        <f aca="false">D378*Captura_Zonas!P11*Referencia!H$171</f>
        <v>0</v>
      </c>
      <c r="J412" s="14" t="n">
        <f aca="false">D378*Captura_Zonas!P11*Referencia!I$171</f>
        <v>0</v>
      </c>
      <c r="K412" s="14" t="n">
        <f aca="false">D378*Captura_Zonas!P11*Referencia!J$171</f>
        <v>0</v>
      </c>
      <c r="L412" s="14" t="n">
        <f aca="false">D378*Captura_Zonas!P11*Referencia!K$171</f>
        <v>0</v>
      </c>
      <c r="M412" s="14" t="n">
        <f aca="false">D378*Captura_Zonas!P11*Referencia!L$171</f>
        <v>0</v>
      </c>
      <c r="N412" s="14" t="n">
        <f aca="false">D378*Captura_Zonas!P11*Referencia!M$171</f>
        <v>0</v>
      </c>
    </row>
    <row r="413" customFormat="false" ht="15" hidden="false" customHeight="false" outlineLevel="0" collapsed="false">
      <c r="C413" s="8" t="s">
        <v>161</v>
      </c>
      <c r="D413" s="14" t="n">
        <f aca="false">D380*(Captura_Zonas!S11+Captura_Zonas!T11+Captura_Zonas!U11+Captura_Zonas!V11+Captura_Zonas!W11+Captura_Zonas!X11+Captura_Zonas!Y11+Captura_Zonas!Z11)*Referencia!C$139</f>
        <v>0</v>
      </c>
      <c r="E413" s="14" t="n">
        <f aca="false">D380*(Captura_Zonas!S11+Captura_Zonas!T11+Captura_Zonas!U11+Captura_Zonas!V11+Captura_Zonas!W11+Captura_Zonas!X11+Captura_Zonas!Y11+Captura_Zonas!Z11)*Referencia!D$139</f>
        <v>0</v>
      </c>
      <c r="F413" s="14" t="n">
        <f aca="false">D380*(Captura_Zonas!S11+Captura_Zonas!T11+Captura_Zonas!U11+Captura_Zonas!V11+Captura_Zonas!W11+Captura_Zonas!X11+Captura_Zonas!Y11+Captura_Zonas!Z11)*Referencia!E$139</f>
        <v>0</v>
      </c>
      <c r="G413" s="14" t="n">
        <f aca="false">D380*(Captura_Zonas!S11+Captura_Zonas!T11+Captura_Zonas!U11+Captura_Zonas!V11+Captura_Zonas!W11+Captura_Zonas!X11+Captura_Zonas!Y11+Captura_Zonas!Z11)*Referencia!F$139</f>
        <v>0</v>
      </c>
      <c r="H413" s="14" t="n">
        <f aca="false">D380*(Captura_Zonas!S11+Captura_Zonas!T11+Captura_Zonas!U11+Captura_Zonas!V11+Captura_Zonas!W11+Captura_Zonas!X11+Captura_Zonas!Y11+Captura_Zonas!Z11)*Referencia!G$139</f>
        <v>0</v>
      </c>
      <c r="I413" s="14" t="n">
        <f aca="false">D380*(Captura_Zonas!S11+Captura_Zonas!T11+Captura_Zonas!U11+Captura_Zonas!V11+Captura_Zonas!W11+Captura_Zonas!X11+Captura_Zonas!Y11+Captura_Zonas!Z11)*Referencia!H$139</f>
        <v>0</v>
      </c>
      <c r="J413" s="14" t="n">
        <f aca="false">D380*(Captura_Zonas!S11+Captura_Zonas!T11+Captura_Zonas!U11+Captura_Zonas!V11+Captura_Zonas!W11+Captura_Zonas!X11+Captura_Zonas!Y11+Captura_Zonas!Z11)*Referencia!I$139</f>
        <v>0</v>
      </c>
      <c r="K413" s="14" t="n">
        <f aca="false">D380*(Captura_Zonas!S11+Captura_Zonas!T11+Captura_Zonas!U11+Captura_Zonas!V11+Captura_Zonas!W11+Captura_Zonas!X11+Captura_Zonas!Y11+Captura_Zonas!Z11)*Referencia!J$139</f>
        <v>0</v>
      </c>
      <c r="L413" s="14" t="n">
        <f aca="false">D380*(Captura_Zonas!S11+Captura_Zonas!T11+Captura_Zonas!U11+Captura_Zonas!V11+Captura_Zonas!W11+Captura_Zonas!X11+Captura_Zonas!Y11+Captura_Zonas!Z11)*Referencia!K$139</f>
        <v>0</v>
      </c>
      <c r="M413" s="14" t="n">
        <f aca="false">D380*(Captura_Zonas!S11+Captura_Zonas!T11+Captura_Zonas!U11+Captura_Zonas!V11+Captura_Zonas!W11+Captura_Zonas!X11+Captura_Zonas!Y11+Captura_Zonas!Z11)*Referencia!L$139</f>
        <v>0</v>
      </c>
      <c r="N413" s="14" t="n">
        <f aca="false">D380*(Captura_Zonas!S11+Captura_Zonas!T11+Captura_Zonas!U11+Captura_Zonas!V11+Captura_Zonas!W11+Captura_Zonas!X11+Captura_Zonas!Y11+Captura_Zonas!Z11)*Referencia!M$139</f>
        <v>0</v>
      </c>
    </row>
    <row r="414" customFormat="false" ht="15" hidden="false" customHeight="false" outlineLevel="0" collapsed="false">
      <c r="C414" s="8" t="s">
        <v>162</v>
      </c>
      <c r="D414" s="14" t="n">
        <f aca="false">D381*D386*SUMPRODUCT(Captura_Zonas!$S$11:$Z$11,Referencia!$C$111:$J$111,Referencia!$C$119:$J$119)</f>
        <v>0</v>
      </c>
      <c r="E414" s="14" t="n">
        <f aca="false">D381*D386*SUMPRODUCT(Captura_Zonas!$S$11:$Z$11,Referencia!$C$111:$J$111,Referencia!$C$120:$J$120)</f>
        <v>0</v>
      </c>
      <c r="F414" s="14" t="n">
        <f aca="false">D381*D386*SUMPRODUCT(Captura_Zonas!$S$11:$Z$11,Referencia!$C$111:$J$111,Referencia!$C$121:$J$121)</f>
        <v>0</v>
      </c>
      <c r="G414" s="14" t="n">
        <f aca="false">D381*D386*SUMPRODUCT(Captura_Zonas!$S$11:$Z$11,Referencia!$C$111:$J$111,Referencia!$C$122:$J$122)</f>
        <v>0</v>
      </c>
      <c r="H414" s="14" t="n">
        <f aca="false">D381*D386*SUMPRODUCT(Captura_Zonas!$S$11:$Z$11,Referencia!$C$111:$J$111,Referencia!$C$123:$J$123)</f>
        <v>0</v>
      </c>
      <c r="I414" s="14" t="n">
        <f aca="false">D381*D386*SUMPRODUCT(Captura_Zonas!$S$11:$Z$11,Referencia!$C$111:$J$111,Referencia!$C$124:$J$124)</f>
        <v>0</v>
      </c>
      <c r="J414" s="14" t="n">
        <f aca="false">D381*D386*SUMPRODUCT(Captura_Zonas!$S$11:$Z$11,Referencia!$C$111:$J$111,Referencia!$C$125:$J$125)</f>
        <v>0</v>
      </c>
      <c r="K414" s="14" t="n">
        <f aca="false">D381*D386*SUMPRODUCT(Captura_Zonas!$S$11:$Z$11,Referencia!$C$111:$J$111,Referencia!$C$126:$J$126)</f>
        <v>0</v>
      </c>
      <c r="L414" s="14" t="n">
        <f aca="false">D381*D386*SUMPRODUCT(Captura_Zonas!$S$11:$Z$11,Referencia!$C$111:$J$111,Referencia!$C$127:$J$127)</f>
        <v>0</v>
      </c>
      <c r="M414" s="14" t="n">
        <f aca="false">D381*D386*SUMPRODUCT(Captura_Zonas!$S$11:$Z$11,Referencia!$C$111:$J$111,Referencia!$C$128:$J$128)</f>
        <v>0</v>
      </c>
      <c r="N414" s="14" t="n">
        <f aca="false">D381*D386*SUMPRODUCT(Captura_Zonas!$S$11:$Z$11,Referencia!$C$111:$J$111,Referencia!$C$129:$J$129)</f>
        <v>0</v>
      </c>
    </row>
    <row r="415" customFormat="false" ht="15" hidden="false" customHeight="false" outlineLevel="0" collapsed="false">
      <c r="C415" s="8" t="s">
        <v>163</v>
      </c>
      <c r="D415" s="14" t="n">
        <f aca="false">D366*Proyecto!$C$52*Proyecto!$C$51*MAX(3,Referencia!C$139*0.35)</f>
        <v>0</v>
      </c>
      <c r="E415" s="14" t="n">
        <f aca="false">D366*Proyecto!$C$52*Proyecto!$C$51*MAX(3,Referencia!D$139*0.35)</f>
        <v>0</v>
      </c>
      <c r="F415" s="14" t="n">
        <f aca="false">D366*Proyecto!$C$52*Proyecto!$C$51*MAX(3,Referencia!E$139*0.35)</f>
        <v>0</v>
      </c>
      <c r="G415" s="14" t="n">
        <f aca="false">D366*Proyecto!$C$52*Proyecto!$C$51*MAX(3,Referencia!F$139*0.35)</f>
        <v>0</v>
      </c>
      <c r="H415" s="14" t="n">
        <f aca="false">D366*Proyecto!$C$52*Proyecto!$C$51*MAX(3,Referencia!G$139*0.35)</f>
        <v>0</v>
      </c>
      <c r="I415" s="14" t="n">
        <f aca="false">D366*Proyecto!$C$52*Proyecto!$C$51*MAX(3,Referencia!H$139*0.35)</f>
        <v>0</v>
      </c>
      <c r="J415" s="14" t="n">
        <f aca="false">D366*Proyecto!$C$52*Proyecto!$C$51*MAX(3,Referencia!I$139*0.35)</f>
        <v>0</v>
      </c>
      <c r="K415" s="14" t="n">
        <f aca="false">D366*Proyecto!$C$52*Proyecto!$C$51*MAX(3,Referencia!J$139*0.35)</f>
        <v>0</v>
      </c>
      <c r="L415" s="14" t="n">
        <f aca="false">D366*Proyecto!$C$52*Proyecto!$C$51*MAX(3,Referencia!K$139*0.35)</f>
        <v>0</v>
      </c>
      <c r="M415" s="14" t="n">
        <f aca="false">D366*Proyecto!$C$52*Proyecto!$C$51*MAX(3,Referencia!L$139*0.35)</f>
        <v>0</v>
      </c>
      <c r="N415" s="14" t="n">
        <f aca="false">D366*Proyecto!$C$52*Proyecto!$C$51*MAX(3,Referencia!M$139*0.35)</f>
        <v>0</v>
      </c>
    </row>
    <row r="416" customFormat="false" ht="15" hidden="false" customHeight="false" outlineLevel="0" collapsed="false">
      <c r="C416" s="8" t="s">
        <v>164</v>
      </c>
      <c r="D416" s="14" t="n">
        <f aca="false">IF(Captura_Zonas!P11&lt;=0,D366*Proyecto!$C$54*Proyecto!$C$53*MAX(2,Referencia!C$139*0.25),0)</f>
        <v>0</v>
      </c>
      <c r="E416" s="14" t="n">
        <f aca="false">IF(Captura_Zonas!P11&lt;=0,D366*Proyecto!$C$54*Proyecto!$C$53*MAX(2,Referencia!D$139*0.25),0)</f>
        <v>0</v>
      </c>
      <c r="F416" s="14" t="n">
        <f aca="false">IF(Captura_Zonas!P11&lt;=0,D366*Proyecto!$C$54*Proyecto!$C$53*MAX(2,Referencia!E$139*0.25),0)</f>
        <v>0</v>
      </c>
      <c r="G416" s="14" t="n">
        <f aca="false">IF(Captura_Zonas!P11&lt;=0,D366*Proyecto!$C$54*Proyecto!$C$53*MAX(2,Referencia!F$139*0.25),0)</f>
        <v>0</v>
      </c>
      <c r="H416" s="14" t="n">
        <f aca="false">IF(Captura_Zonas!P11&lt;=0,D366*Proyecto!$C$54*Proyecto!$C$53*MAX(2,Referencia!G$139*0.25),0)</f>
        <v>0</v>
      </c>
      <c r="I416" s="14" t="n">
        <f aca="false">IF(Captura_Zonas!P11&lt;=0,D366*Proyecto!$C$54*Proyecto!$C$53*MAX(2,Referencia!H$139*0.25),0)</f>
        <v>0</v>
      </c>
      <c r="J416" s="14" t="n">
        <f aca="false">IF(Captura_Zonas!P11&lt;=0,D366*Proyecto!$C$54*Proyecto!$C$53*MAX(2,Referencia!I$139*0.25),0)</f>
        <v>0</v>
      </c>
      <c r="K416" s="14" t="n">
        <f aca="false">IF(Captura_Zonas!P11&lt;=0,D366*Proyecto!$C$54*Proyecto!$C$53*MAX(2,Referencia!J$139*0.25),0)</f>
        <v>0</v>
      </c>
      <c r="L416" s="14" t="n">
        <f aca="false">IF(Captura_Zonas!P11&lt;=0,D366*Proyecto!$C$54*Proyecto!$C$53*MAX(2,Referencia!K$139*0.25),0)</f>
        <v>0</v>
      </c>
      <c r="M416" s="14" t="n">
        <f aca="false">IF(Captura_Zonas!P11&lt;=0,D366*Proyecto!$C$54*Proyecto!$C$53*MAX(2,Referencia!L$139*0.25),0)</f>
        <v>0</v>
      </c>
      <c r="N416" s="14" t="n">
        <f aca="false">IF(Captura_Zonas!P11&lt;=0,D366*Proyecto!$C$54*Proyecto!$C$53*MAX(2,Referencia!M$139*0.25),0)</f>
        <v>0</v>
      </c>
    </row>
    <row r="417" customFormat="false" ht="15" hidden="false" customHeight="false" outlineLevel="0" collapsed="false">
      <c r="C417" s="8" t="s">
        <v>165</v>
      </c>
      <c r="D417" s="14" t="n">
        <f aca="false">D398*Proyecto!$C$31*Referencia!C$139</f>
        <v>0</v>
      </c>
      <c r="E417" s="14" t="n">
        <f aca="false">D398*Proyecto!$C$31*Referencia!D$139</f>
        <v>0</v>
      </c>
      <c r="F417" s="14" t="n">
        <f aca="false">D398*Proyecto!$C$31*Referencia!E$139</f>
        <v>0</v>
      </c>
      <c r="G417" s="14" t="n">
        <f aca="false">D398*Proyecto!$C$31*Referencia!F$139</f>
        <v>0</v>
      </c>
      <c r="H417" s="14" t="n">
        <f aca="false">D398*Proyecto!$C$31*Referencia!G$139</f>
        <v>0</v>
      </c>
      <c r="I417" s="14" t="n">
        <f aca="false">D398*Proyecto!$C$31*Referencia!H$139</f>
        <v>0</v>
      </c>
      <c r="J417" s="14" t="n">
        <f aca="false">D398*Proyecto!$C$31*Referencia!I$139</f>
        <v>0</v>
      </c>
      <c r="K417" s="14" t="n">
        <f aca="false">D398*Proyecto!$C$31*Referencia!J$139</f>
        <v>0</v>
      </c>
      <c r="L417" s="14" t="n">
        <f aca="false">D398*Proyecto!$C$31*Referencia!K$139</f>
        <v>0</v>
      </c>
      <c r="M417" s="14" t="n">
        <f aca="false">D398*Proyecto!$C$31*Referencia!L$139</f>
        <v>0</v>
      </c>
      <c r="N417" s="14" t="n">
        <f aca="false">D398*Proyecto!$C$31*Referencia!M$139</f>
        <v>0</v>
      </c>
    </row>
    <row r="418" customFormat="false" ht="15" hidden="false" customHeight="false" outlineLevel="0" collapsed="false">
      <c r="C418" s="8" t="s">
        <v>166</v>
      </c>
      <c r="D418" s="14" t="n">
        <f aca="false">D402*Proyecto!$C$31*Referencia!C$139</f>
        <v>0</v>
      </c>
      <c r="E418" s="14" t="n">
        <f aca="false">D402*Proyecto!$C$31*Referencia!D$139</f>
        <v>0</v>
      </c>
      <c r="F418" s="14" t="n">
        <f aca="false">D402*Proyecto!$C$31*Referencia!E$139</f>
        <v>0</v>
      </c>
      <c r="G418" s="14" t="n">
        <f aca="false">D402*Proyecto!$C$31*Referencia!F$139</f>
        <v>0</v>
      </c>
      <c r="H418" s="14" t="n">
        <f aca="false">D402*Proyecto!$C$31*Referencia!G$139</f>
        <v>0</v>
      </c>
      <c r="I418" s="14" t="n">
        <f aca="false">D402*Proyecto!$C$31*Referencia!H$139</f>
        <v>0</v>
      </c>
      <c r="J418" s="14" t="n">
        <f aca="false">D402*Proyecto!$C$31*Referencia!I$139</f>
        <v>0</v>
      </c>
      <c r="K418" s="14" t="n">
        <f aca="false">D402*Proyecto!$C$31*Referencia!J$139</f>
        <v>0</v>
      </c>
      <c r="L418" s="14" t="n">
        <f aca="false">D402*Proyecto!$C$31*Referencia!K$139</f>
        <v>0</v>
      </c>
      <c r="M418" s="14" t="n">
        <f aca="false">D402*Proyecto!$C$31*Referencia!L$139</f>
        <v>0</v>
      </c>
      <c r="N418" s="14" t="n">
        <f aca="false">D402*Proyecto!$C$31*Referencia!M$139</f>
        <v>0</v>
      </c>
    </row>
    <row r="419" customFormat="false" ht="15" hidden="false" customHeight="false" outlineLevel="0" collapsed="false">
      <c r="C419" s="8" t="s">
        <v>167</v>
      </c>
      <c r="D419" s="14" t="n">
        <f aca="false">D411+D412+D413+D414+D415+D416+$D$394+$D$396+$D$397+D417</f>
        <v>0</v>
      </c>
      <c r="E419" s="14" t="n">
        <f aca="false">E411+E412+E413+E414+E415+E416+$D$394+$D$396+$D$397+E417</f>
        <v>0</v>
      </c>
      <c r="F419" s="14" t="n">
        <f aca="false">F411+F412+F413+F414+F415+F416+$D$394+$D$396+$D$397+F417</f>
        <v>0</v>
      </c>
      <c r="G419" s="14" t="n">
        <f aca="false">G411+G412+G413+G414+G415+G416+$D$394+$D$396+$D$397+G417</f>
        <v>0</v>
      </c>
      <c r="H419" s="14" t="n">
        <f aca="false">H411+H412+H413+H414+H415+H416+$D$394+$D$396+$D$397+H417</f>
        <v>0</v>
      </c>
      <c r="I419" s="14" t="n">
        <f aca="false">I411+I412+I413+I414+I415+I416+$D$394+$D$396+$D$397+I417</f>
        <v>0</v>
      </c>
      <c r="J419" s="14" t="n">
        <f aca="false">J411+J412+J413+J414+J415+J416+$D$394+$D$396+$D$397+J417</f>
        <v>0</v>
      </c>
      <c r="K419" s="14" t="n">
        <f aca="false">K411+K412+K413+K414+K415+K416+$D$394+$D$396+$D$397+K417</f>
        <v>0</v>
      </c>
      <c r="L419" s="14" t="n">
        <f aca="false">L411+L412+L413+L414+L415+L416+$D$394+$D$396+$D$397+L417</f>
        <v>0</v>
      </c>
      <c r="M419" s="14" t="n">
        <f aca="false">M411+M412+M413+M414+M415+M416+$D$394+$D$396+$D$397+M417</f>
        <v>0</v>
      </c>
      <c r="N419" s="14" t="n">
        <f aca="false">N411+N412+N413+N414+N415+N416+$D$394+$D$396+$D$397+N417</f>
        <v>0</v>
      </c>
    </row>
    <row r="420" customFormat="false" ht="15" hidden="false" customHeight="false" outlineLevel="0" collapsed="false">
      <c r="C420" s="8" t="s">
        <v>168</v>
      </c>
      <c r="D420" s="14" t="n">
        <f aca="false">D419*Proyecto!$C$42</f>
        <v>0</v>
      </c>
      <c r="E420" s="14" t="n">
        <f aca="false">E419*Proyecto!$C$42</f>
        <v>0</v>
      </c>
      <c r="F420" s="14" t="n">
        <f aca="false">F419*Proyecto!$C$42</f>
        <v>0</v>
      </c>
      <c r="G420" s="14" t="n">
        <f aca="false">G419*Proyecto!$C$42</f>
        <v>0</v>
      </c>
      <c r="H420" s="14" t="n">
        <f aca="false">H419*Proyecto!$C$42</f>
        <v>0</v>
      </c>
      <c r="I420" s="14" t="n">
        <f aca="false">I419*Proyecto!$C$42</f>
        <v>0</v>
      </c>
      <c r="J420" s="14" t="n">
        <f aca="false">J419*Proyecto!$C$42</f>
        <v>0</v>
      </c>
      <c r="K420" s="14" t="n">
        <f aca="false">K419*Proyecto!$C$42</f>
        <v>0</v>
      </c>
      <c r="L420" s="14" t="n">
        <f aca="false">L419*Proyecto!$C$42</f>
        <v>0</v>
      </c>
      <c r="M420" s="14" t="n">
        <f aca="false">M419*Proyecto!$C$42</f>
        <v>0</v>
      </c>
      <c r="N420" s="14" t="n">
        <f aca="false">N419*Proyecto!$C$42</f>
        <v>0</v>
      </c>
    </row>
    <row r="421" customFormat="false" ht="15" hidden="false" customHeight="false" outlineLevel="0" collapsed="false">
      <c r="C421" s="8" t="s">
        <v>169</v>
      </c>
      <c r="D421" s="14" t="n">
        <f aca="false">D419*Proyecto!$C$43</f>
        <v>0</v>
      </c>
      <c r="E421" s="14" t="n">
        <f aca="false">E419*Proyecto!$C$43</f>
        <v>0</v>
      </c>
      <c r="F421" s="14" t="n">
        <f aca="false">F419*Proyecto!$C$43</f>
        <v>0</v>
      </c>
      <c r="G421" s="14" t="n">
        <f aca="false">G419*Proyecto!$C$43</f>
        <v>0</v>
      </c>
      <c r="H421" s="14" t="n">
        <f aca="false">H419*Proyecto!$C$43</f>
        <v>0</v>
      </c>
      <c r="I421" s="14" t="n">
        <f aca="false">I419*Proyecto!$C$43</f>
        <v>0</v>
      </c>
      <c r="J421" s="14" t="n">
        <f aca="false">J419*Proyecto!$C$43</f>
        <v>0</v>
      </c>
      <c r="K421" s="14" t="n">
        <f aca="false">K419*Proyecto!$C$43</f>
        <v>0</v>
      </c>
      <c r="L421" s="14" t="n">
        <f aca="false">L419*Proyecto!$C$43</f>
        <v>0</v>
      </c>
      <c r="M421" s="14" t="n">
        <f aca="false">M419*Proyecto!$C$43</f>
        <v>0</v>
      </c>
      <c r="N421" s="14" t="n">
        <f aca="false">N419*Proyecto!$C$43</f>
        <v>0</v>
      </c>
    </row>
    <row r="422" customFormat="false" ht="15" hidden="false" customHeight="false" outlineLevel="0" collapsed="false">
      <c r="C422" s="8" t="s">
        <v>170</v>
      </c>
      <c r="D422" s="14" t="n">
        <f aca="false">(D419+D420+D421)*Proyecto!$C$39</f>
        <v>0</v>
      </c>
      <c r="E422" s="14" t="n">
        <f aca="false">(E419+E420+E421)*Proyecto!$C$39</f>
        <v>0</v>
      </c>
      <c r="F422" s="14" t="n">
        <f aca="false">(F419+F420+F421)*Proyecto!$C$39</f>
        <v>0</v>
      </c>
      <c r="G422" s="14" t="n">
        <f aca="false">(G419+G420+G421)*Proyecto!$C$39</f>
        <v>0</v>
      </c>
      <c r="H422" s="14" t="n">
        <f aca="false">(H419+H420+H421)*Proyecto!$C$39</f>
        <v>0</v>
      </c>
      <c r="I422" s="14" t="n">
        <f aca="false">(I419+I420+I421)*Proyecto!$C$39</f>
        <v>0</v>
      </c>
      <c r="J422" s="14" t="n">
        <f aca="false">(J419+J420+J421)*Proyecto!$C$39</f>
        <v>0</v>
      </c>
      <c r="K422" s="14" t="n">
        <f aca="false">(K419+K420+K421)*Proyecto!$C$39</f>
        <v>0</v>
      </c>
      <c r="L422" s="14" t="n">
        <f aca="false">(L419+L420+L421)*Proyecto!$C$39</f>
        <v>0</v>
      </c>
      <c r="M422" s="14" t="n">
        <f aca="false">(M419+M420+M421)*Proyecto!$C$39</f>
        <v>0</v>
      </c>
      <c r="N422" s="14" t="n">
        <f aca="false">(N419+N420+N421)*Proyecto!$C$39</f>
        <v>0</v>
      </c>
    </row>
    <row r="423" customFormat="false" ht="15" hidden="false" customHeight="false" outlineLevel="0" collapsed="false">
      <c r="C423" s="8" t="s">
        <v>171</v>
      </c>
      <c r="D423" s="14" t="n">
        <f aca="false">D419+D420+D421+D422</f>
        <v>0</v>
      </c>
      <c r="E423" s="14" t="n">
        <f aca="false">E419+E420+E421+E422</f>
        <v>0</v>
      </c>
      <c r="F423" s="14" t="n">
        <f aca="false">F419+F420+F421+F422</f>
        <v>0</v>
      </c>
      <c r="G423" s="14" t="n">
        <f aca="false">G419+G420+G421+G422</f>
        <v>0</v>
      </c>
      <c r="H423" s="14" t="n">
        <f aca="false">H419+H420+H421+H422</f>
        <v>0</v>
      </c>
      <c r="I423" s="14" t="n">
        <f aca="false">I419+I420+I421+I422</f>
        <v>0</v>
      </c>
      <c r="J423" s="14" t="n">
        <f aca="false">J419+J420+J421+J422</f>
        <v>0</v>
      </c>
      <c r="K423" s="14" t="n">
        <f aca="false">K419+K420+K421+K422</f>
        <v>0</v>
      </c>
      <c r="L423" s="14" t="n">
        <f aca="false">L419+L420+L421+L422</f>
        <v>0</v>
      </c>
      <c r="M423" s="14" t="n">
        <f aca="false">M419+M420+M421+M422</f>
        <v>0</v>
      </c>
      <c r="N423" s="14" t="n">
        <f aca="false">N419+N420+N421+N422</f>
        <v>0</v>
      </c>
    </row>
    <row r="424" customFormat="false" ht="15" hidden="false" customHeight="false" outlineLevel="0" collapsed="false">
      <c r="C424" s="8" t="s">
        <v>172</v>
      </c>
      <c r="D424" s="14" t="n">
        <f aca="false">D423+D418</f>
        <v>0</v>
      </c>
      <c r="E424" s="14" t="n">
        <f aca="false">E423+E418</f>
        <v>0</v>
      </c>
      <c r="F424" s="14" t="n">
        <f aca="false">F423+F418</f>
        <v>0</v>
      </c>
      <c r="G424" s="14" t="n">
        <f aca="false">G423+G418</f>
        <v>0</v>
      </c>
      <c r="H424" s="14" t="n">
        <f aca="false">H423+H418</f>
        <v>0</v>
      </c>
      <c r="I424" s="14" t="n">
        <f aca="false">I423+I418</f>
        <v>0</v>
      </c>
      <c r="J424" s="14" t="n">
        <f aca="false">J423+J418</f>
        <v>0</v>
      </c>
      <c r="K424" s="14" t="n">
        <f aca="false">K423+K418</f>
        <v>0</v>
      </c>
      <c r="L424" s="14" t="n">
        <f aca="false">L423+L418</f>
        <v>0</v>
      </c>
      <c r="M424" s="14" t="n">
        <f aca="false">M423+M418</f>
        <v>0</v>
      </c>
      <c r="N424" s="14" t="n">
        <f aca="false">N423+N418</f>
        <v>0</v>
      </c>
    </row>
    <row r="425" customFormat="false" ht="15" hidden="false" customHeight="false" outlineLevel="0" collapsed="false">
      <c r="C425" s="38" t="s">
        <v>173</v>
      </c>
      <c r="D425" s="36" t="n">
        <f aca="false">D424+$D$408</f>
        <v>0</v>
      </c>
      <c r="E425" s="36" t="n">
        <f aca="false">E424+$D$408</f>
        <v>0</v>
      </c>
      <c r="F425" s="36" t="n">
        <f aca="false">F424+$D$408</f>
        <v>0</v>
      </c>
      <c r="G425" s="36" t="n">
        <f aca="false">G424+$D$408</f>
        <v>0</v>
      </c>
      <c r="H425" s="36" t="n">
        <f aca="false">H424+$D$408</f>
        <v>0</v>
      </c>
      <c r="I425" s="36" t="n">
        <f aca="false">I424+$D$408</f>
        <v>0</v>
      </c>
      <c r="J425" s="36" t="n">
        <f aca="false">J424+$D$408</f>
        <v>0</v>
      </c>
      <c r="K425" s="36" t="n">
        <f aca="false">K424+$D$408</f>
        <v>0</v>
      </c>
      <c r="L425" s="36" t="n">
        <f aca="false">L424+$D$408</f>
        <v>0</v>
      </c>
      <c r="M425" s="36" t="n">
        <f aca="false">M424+$D$408</f>
        <v>0</v>
      </c>
      <c r="N425" s="36" t="n">
        <f aca="false">N424+$D$408</f>
        <v>0</v>
      </c>
    </row>
    <row r="426" customFormat="false" ht="15" hidden="false" customHeight="false" outlineLevel="0" collapsed="false">
      <c r="C426" s="8" t="s">
        <v>174</v>
      </c>
      <c r="D426" s="15" t="n">
        <f aca="false">D425/Proyecto!$C$48</f>
        <v>0</v>
      </c>
      <c r="E426" s="15" t="n">
        <f aca="false">E425/Proyecto!$C$48</f>
        <v>0</v>
      </c>
      <c r="F426" s="15" t="n">
        <f aca="false">F425/Proyecto!$C$48</f>
        <v>0</v>
      </c>
      <c r="G426" s="15" t="n">
        <f aca="false">G425/Proyecto!$C$48</f>
        <v>0</v>
      </c>
      <c r="H426" s="15" t="n">
        <f aca="false">H425/Proyecto!$C$48</f>
        <v>0</v>
      </c>
      <c r="I426" s="15" t="n">
        <f aca="false">I425/Proyecto!$C$48</f>
        <v>0</v>
      </c>
      <c r="J426" s="15" t="n">
        <f aca="false">J425/Proyecto!$C$48</f>
        <v>0</v>
      </c>
      <c r="K426" s="15" t="n">
        <f aca="false">K425/Proyecto!$C$48</f>
        <v>0</v>
      </c>
      <c r="L426" s="15" t="n">
        <f aca="false">L425/Proyecto!$C$48</f>
        <v>0</v>
      </c>
      <c r="M426" s="15" t="n">
        <f aca="false">M425/Proyecto!$C$48</f>
        <v>0</v>
      </c>
      <c r="N426" s="15" t="n">
        <f aca="false">N425/Proyecto!$C$48</f>
        <v>0</v>
      </c>
    </row>
    <row r="428" customFormat="false" ht="15" hidden="false" customHeight="false" outlineLevel="0" collapsed="false">
      <c r="C428" s="8" t="s">
        <v>175</v>
      </c>
      <c r="D428" s="36" t="n">
        <f aca="false">MAX(D425:N425)</f>
        <v>0</v>
      </c>
    </row>
    <row r="429" customFormat="false" ht="15" hidden="false" customHeight="false" outlineLevel="0" collapsed="false">
      <c r="C429" s="8" t="s">
        <v>176</v>
      </c>
      <c r="D429" s="14" t="n">
        <f aca="false">INDEX(D410:N410,MATCH(D428,D425:N425,0))</f>
        <v>8</v>
      </c>
    </row>
    <row r="430" customFormat="false" ht="15" hidden="false" customHeight="false" outlineLevel="0" collapsed="false">
      <c r="C430" s="8" t="s">
        <v>177</v>
      </c>
      <c r="D430" s="14" t="n">
        <f aca="false">INDEX(D423:N423,MATCH(D428,D425:N425,0))</f>
        <v>0</v>
      </c>
    </row>
    <row r="431" customFormat="false" ht="15" hidden="false" customHeight="false" outlineLevel="0" collapsed="false">
      <c r="C431" s="8" t="s">
        <v>178</v>
      </c>
      <c r="D431" s="14" t="n">
        <f aca="false">INDEX(D424:N424,MATCH(D428,D425:N425,0))</f>
        <v>0</v>
      </c>
    </row>
    <row r="432" customFormat="false" ht="15" hidden="false" customHeight="false" outlineLevel="0" collapsed="false">
      <c r="C432" s="8" t="s">
        <v>179</v>
      </c>
      <c r="D432" s="15" t="n">
        <f aca="false">D428/Proyecto!$C$48</f>
        <v>0</v>
      </c>
    </row>
    <row r="433" customFormat="false" ht="15" hidden="false" customHeight="false" outlineLevel="0" collapsed="false">
      <c r="C433" s="8" t="s">
        <v>180</v>
      </c>
      <c r="D433" s="15" t="n">
        <f aca="false">D428/1000</f>
        <v>0</v>
      </c>
    </row>
    <row r="434" customFormat="false" ht="15" hidden="false" customHeight="false" outlineLevel="0" collapsed="false">
      <c r="C434" s="8" t="s">
        <v>181</v>
      </c>
      <c r="D434" s="14" t="n">
        <f aca="false">(D430/(Proyecto!$C$31*Proyecto!$C$41))/1.699</f>
        <v>0</v>
      </c>
    </row>
    <row r="437" customFormat="false" ht="15" hidden="false" customHeight="false" outlineLevel="0" collapsed="false">
      <c r="C437" s="34" t="str">
        <f aca="false">Captura_Zonas!B12</f>
        <v>Zona 7</v>
      </c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</row>
    <row r="438" customFormat="false" ht="15" hidden="false" customHeight="false" outlineLevel="0" collapsed="false">
      <c r="C438" s="8" t="s">
        <v>61</v>
      </c>
      <c r="D438" s="15" t="n">
        <f aca="false">Captura_Zonas!C12</f>
        <v>0</v>
      </c>
    </row>
    <row r="439" customFormat="false" ht="15" hidden="false" customHeight="false" outlineLevel="0" collapsed="false">
      <c r="C439" s="8" t="s">
        <v>62</v>
      </c>
      <c r="D439" s="15" t="n">
        <f aca="false">MAX(0.1,Captura_Zonas!D12)</f>
        <v>0.1</v>
      </c>
    </row>
    <row r="440" customFormat="false" ht="15" hidden="false" customHeight="false" outlineLevel="0" collapsed="false">
      <c r="C440" s="8" t="s">
        <v>118</v>
      </c>
      <c r="D440" s="13" t="n">
        <f aca="false">D438*D439</f>
        <v>0</v>
      </c>
    </row>
    <row r="441" customFormat="false" ht="15" hidden="false" customHeight="false" outlineLevel="0" collapsed="false">
      <c r="C441" s="8" t="s">
        <v>63</v>
      </c>
      <c r="D441" s="8" t="str">
        <f aca="false">Captura_Zonas!E12</f>
        <v>Oficina</v>
      </c>
    </row>
    <row r="442" customFormat="false" ht="15" hidden="false" customHeight="false" outlineLevel="0" collapsed="false">
      <c r="C442" s="8" t="s">
        <v>119</v>
      </c>
      <c r="D442" s="14" t="n">
        <f aca="false">Captura_Zonas!F12</f>
        <v>16</v>
      </c>
    </row>
    <row r="443" customFormat="false" ht="15" hidden="false" customHeight="false" outlineLevel="0" collapsed="false">
      <c r="C443" s="8" t="s">
        <v>120</v>
      </c>
      <c r="D443" s="13" t="n">
        <f aca="false">INDEX(Referencia!$C$79:$C$88,MATCH(D441,Referencia!$B$79:$B$88,0))</f>
        <v>2.5</v>
      </c>
    </row>
    <row r="444" customFormat="false" ht="15" hidden="false" customHeight="false" outlineLevel="0" collapsed="false">
      <c r="C444" s="8" t="s">
        <v>121</v>
      </c>
      <c r="D444" s="15" t="n">
        <f aca="false">INDEX(Referencia!$D$79:$D$88,MATCH(D441,Referencia!$B$79:$B$88,0))</f>
        <v>0.3</v>
      </c>
    </row>
    <row r="445" customFormat="false" ht="15" hidden="false" customHeight="false" outlineLevel="0" collapsed="false">
      <c r="C445" s="8" t="s">
        <v>122</v>
      </c>
      <c r="D445" s="15" t="n">
        <f aca="false">INDEX(Referencia!$E$79:$E$88,MATCH(D441,Referencia!$B$79:$B$88,0))</f>
        <v>0.9</v>
      </c>
    </row>
    <row r="446" customFormat="false" ht="15" hidden="false" customHeight="false" outlineLevel="0" collapsed="false">
      <c r="C446" s="8" t="s">
        <v>123</v>
      </c>
      <c r="D446" s="15" t="n">
        <f aca="false">INDEX(Referencia!$F$79:$F$88,MATCH(D441,Referencia!$B$79:$B$88,0))</f>
        <v>0.95</v>
      </c>
    </row>
    <row r="447" customFormat="false" ht="15" hidden="false" customHeight="false" outlineLevel="0" collapsed="false">
      <c r="C447" s="8" t="s">
        <v>124</v>
      </c>
      <c r="D447" s="15" t="n">
        <f aca="false">INDEX(Referencia!$G$79:$G$88,MATCH(D441,Referencia!$B$79:$B$88,0))</f>
        <v>0.9</v>
      </c>
    </row>
    <row r="448" customFormat="false" ht="15" hidden="false" customHeight="false" outlineLevel="0" collapsed="false">
      <c r="C448" s="8" t="s">
        <v>125</v>
      </c>
      <c r="D448" s="16" t="n">
        <f aca="false">INDEX(Referencia!$C$15:$C$43,MATCH(Captura_Zonas!G12,Referencia!$B$15:$B$43,0))</f>
        <v>0.849</v>
      </c>
    </row>
    <row r="449" customFormat="false" ht="15" hidden="false" customHeight="false" outlineLevel="0" collapsed="false">
      <c r="C449" s="8" t="s">
        <v>126</v>
      </c>
      <c r="D449" s="14" t="n">
        <f aca="false">INDEX(Referencia!$D$15:$D$43,MATCH(Captura_Zonas!G12,Referencia!$B$15:$B$43,0))</f>
        <v>176</v>
      </c>
    </row>
    <row r="450" customFormat="false" ht="15" hidden="false" customHeight="false" outlineLevel="0" collapsed="false">
      <c r="C450" s="8" t="s">
        <v>127</v>
      </c>
      <c r="D450" s="16" t="n">
        <f aca="false">INDEX(Referencia!$C$47:$C$60,MATCH(Captura_Zonas!Q12,Referencia!$B$47:$B$60,0))</f>
        <v>0.55</v>
      </c>
    </row>
    <row r="451" customFormat="false" ht="15" hidden="false" customHeight="false" outlineLevel="0" collapsed="false">
      <c r="C451" s="8" t="s">
        <v>128</v>
      </c>
      <c r="D451" s="14" t="n">
        <f aca="false">INDEX(Referencia!$D$47:$D$60,MATCH(Captura_Zonas!Q12,Referencia!$B$47:$B$60,0))</f>
        <v>320</v>
      </c>
    </row>
    <row r="452" customFormat="false" ht="15" hidden="false" customHeight="false" outlineLevel="0" collapsed="false">
      <c r="C452" s="8" t="s">
        <v>129</v>
      </c>
      <c r="D452" s="15" t="n">
        <f aca="false">INDEX(Referencia!$C$64:$C$75,MATCH(Captura_Zonas!R12,Referencia!$B$64:$B$75,0))</f>
        <v>2.8</v>
      </c>
    </row>
    <row r="453" customFormat="false" ht="15" hidden="false" customHeight="false" outlineLevel="0" collapsed="false">
      <c r="C453" s="8" t="s">
        <v>130</v>
      </c>
      <c r="D453" s="15" t="n">
        <f aca="false">INDEX(Referencia!$E$64:$E$75,MATCH(Captura_Zonas!R12,Referencia!$B$64:$B$75,0))</f>
        <v>0.7</v>
      </c>
    </row>
    <row r="454" customFormat="false" ht="15" hidden="false" customHeight="false" outlineLevel="0" collapsed="false">
      <c r="C454" s="8" t="s">
        <v>131</v>
      </c>
      <c r="D454" s="13" t="n">
        <f aca="false">IF(D438&gt;0,((Captura_Zonas!H12+Captura_Zonas!I12+Captura_Zonas!J12+Captura_Zonas!K12+Captura_Zonas!L12+Captura_Zonas!M12+Captura_Zonas!N12+Captura_Zonas!O12)*D449+Captura_Zonas!P12*D451+(Captura_Zonas!S12+Captura_Zonas!T12+Captura_Zonas!U12+Captura_Zonas!V12+Captura_Zonas!W12+Captura_Zonas!X12+Captura_Zonas!Y12+Captura_Zonas!Z12)*25)/D438,200)</f>
        <v>200</v>
      </c>
    </row>
    <row r="455" customFormat="false" ht="15" hidden="false" customHeight="false" outlineLevel="0" collapsed="false">
      <c r="C455" s="8" t="s">
        <v>132</v>
      </c>
      <c r="D455" s="8" t="str">
        <f aca="false">IF(D454&lt;150,"Ligera",IF(D454&lt;350,"Media","Pesada"))</f>
        <v>Media</v>
      </c>
    </row>
    <row r="456" customFormat="false" ht="15" hidden="false" customHeight="false" outlineLevel="0" collapsed="false">
      <c r="C456" s="8" t="s">
        <v>133</v>
      </c>
      <c r="D456" s="13" t="n">
        <f aca="false">MAX(0,Captura_Zonas!AG12)</f>
        <v>0</v>
      </c>
    </row>
    <row r="457" customFormat="false" ht="15" hidden="false" customHeight="false" outlineLevel="0" collapsed="false">
      <c r="C457" s="8" t="s">
        <v>134</v>
      </c>
      <c r="D457" s="16" t="n">
        <f aca="false">IF(D456&lt;=0,1,MAX(0.75,1-D456*IF(D455="Pesada",0.04,IF(D455="Media",0.03,0.02))*2.5))</f>
        <v>1</v>
      </c>
    </row>
    <row r="458" customFormat="false" ht="15" hidden="false" customHeight="false" outlineLevel="0" collapsed="false">
      <c r="C458" s="8" t="s">
        <v>135</v>
      </c>
      <c r="D458" s="16" t="n">
        <f aca="false">INDEX(Referencia!$C$92:$E$94,MATCH(D442,Referencia!$B$92:$B$94,0),MATCH(D455,{"Ligera","Media","Pesada"},0))*D457</f>
        <v>0.66</v>
      </c>
    </row>
    <row r="459" customFormat="false" ht="15" hidden="false" customHeight="false" outlineLevel="0" collapsed="false">
      <c r="C459" s="8" t="s">
        <v>136</v>
      </c>
      <c r="D459" s="16" t="n">
        <f aca="false">INDEX(Referencia!$C$98:$E$100,MATCH(D442,Referencia!$B$98:$B$100,0),MATCH(D455,{"Ligera","Media","Pesada"},0))*D457</f>
        <v>0.7</v>
      </c>
    </row>
    <row r="460" customFormat="false" ht="15" hidden="false" customHeight="false" outlineLevel="0" collapsed="false">
      <c r="C460" s="8" t="s">
        <v>137</v>
      </c>
      <c r="D460" s="15" t="n">
        <f aca="false">INDEX(Referencia!$C$104:$C$106,MATCH(D442,Referencia!$B$104:$B$106,0))</f>
        <v>0.9</v>
      </c>
    </row>
    <row r="461" customFormat="false" ht="15" hidden="false" customHeight="false" outlineLevel="0" collapsed="false">
      <c r="C461" s="8" t="s">
        <v>138</v>
      </c>
      <c r="D461" s="15" t="n">
        <f aca="false">INDEX(Referencia!$D$104:$D$106,MATCH(D442,Referencia!$B$104:$B$106,0))</f>
        <v>0.9</v>
      </c>
    </row>
    <row r="462" customFormat="false" ht="15" hidden="false" customHeight="false" outlineLevel="0" collapsed="false">
      <c r="C462" s="8" t="s">
        <v>139</v>
      </c>
      <c r="D462" s="15" t="n">
        <f aca="false">IF(Captura_Zonas!AC12="Fluorescente",1.2,1)</f>
        <v>1</v>
      </c>
    </row>
    <row r="463" customFormat="false" ht="15" hidden="false" customHeight="false" outlineLevel="0" collapsed="false">
      <c r="C463" s="8" t="s">
        <v>140</v>
      </c>
      <c r="D463" s="35" t="b">
        <f aca="false">IF(Captura_Zonas!AF12="Auto",D439&gt;=3.5,Captura_Zonas!AF12="Sí")</f>
        <v>0</v>
      </c>
    </row>
    <row r="464" customFormat="false" ht="15" hidden="false" customHeight="false" outlineLevel="0" collapsed="false">
      <c r="C464" s="8" t="s">
        <v>141</v>
      </c>
      <c r="D464" s="15" t="n">
        <f aca="false">IF(D439&lt;=3.2,1,IF(AND(D463,D439&gt;=4),0.7,IF(D439&gt;=5,0.75,IF(D439&gt;=4,0.85,0.92))))</f>
        <v>1</v>
      </c>
    </row>
    <row r="465" customFormat="false" ht="15" hidden="false" customHeight="false" outlineLevel="0" collapsed="false">
      <c r="C465" s="8" t="s">
        <v>142</v>
      </c>
      <c r="D465" s="14" t="n">
        <f aca="false">MAX(0,ROUND(Captura_Zonas!AA12,0))</f>
        <v>0</v>
      </c>
    </row>
    <row r="466" customFormat="false" ht="15" hidden="false" customHeight="false" outlineLevel="0" collapsed="false">
      <c r="C466" s="8" t="s">
        <v>143</v>
      </c>
      <c r="D466" s="14" t="n">
        <f aca="false">D465*Proyecto!$C$44*D460*D445*Proyecto!$C$38</f>
        <v>0</v>
      </c>
    </row>
    <row r="467" customFormat="false" ht="15" hidden="false" customHeight="false" outlineLevel="0" collapsed="false">
      <c r="C467" s="8" t="s">
        <v>144</v>
      </c>
      <c r="D467" s="14" t="n">
        <f aca="false">D465*Proyecto!$C$45*D445*Proyecto!$C$38</f>
        <v>0</v>
      </c>
    </row>
    <row r="468" customFormat="false" ht="15" hidden="false" customHeight="false" outlineLevel="0" collapsed="false">
      <c r="C468" s="8" t="s">
        <v>145</v>
      </c>
      <c r="D468" s="14" t="n">
        <f aca="false">MAX(0,Captura_Zonas!AB12)*D462*D459*D446*Proyecto!$C$38*D464</f>
        <v>0</v>
      </c>
    </row>
    <row r="469" customFormat="false" ht="15" hidden="false" customHeight="false" outlineLevel="0" collapsed="false">
      <c r="C469" s="8" t="s">
        <v>146</v>
      </c>
      <c r="D469" s="14" t="n">
        <f aca="false">MAX(0,Captura_Zonas!AD12)*D461*D447*Proyecto!$C$38</f>
        <v>0</v>
      </c>
    </row>
    <row r="470" customFormat="false" ht="15" hidden="false" customHeight="false" outlineLevel="0" collapsed="false">
      <c r="C470" s="8" t="s">
        <v>147</v>
      </c>
      <c r="D470" s="14" t="n">
        <f aca="false">D440*MAX(0,Captura_Zonas!AE12)</f>
        <v>0</v>
      </c>
    </row>
    <row r="471" customFormat="false" ht="15" hidden="false" customHeight="false" outlineLevel="0" collapsed="false">
      <c r="C471" s="8" t="s">
        <v>148</v>
      </c>
      <c r="D471" s="14" t="n">
        <f aca="false">(D443*D465+D444*D438)*3.6</f>
        <v>0</v>
      </c>
    </row>
    <row r="472" customFormat="false" ht="15" hidden="false" customHeight="false" outlineLevel="0" collapsed="false">
      <c r="C472" s="8" t="s">
        <v>149</v>
      </c>
      <c r="D472" s="14" t="n">
        <f aca="false">D465*Proyecto!$C$46</f>
        <v>0</v>
      </c>
    </row>
    <row r="473" customFormat="false" ht="15" hidden="false" customHeight="false" outlineLevel="0" collapsed="false">
      <c r="C473" s="8" t="s">
        <v>150</v>
      </c>
      <c r="D473" s="14" t="n">
        <f aca="false">D438*Proyecto!$C$47</f>
        <v>0</v>
      </c>
    </row>
    <row r="474" customFormat="false" ht="15" hidden="false" customHeight="false" outlineLevel="0" collapsed="false">
      <c r="C474" s="8" t="s">
        <v>151</v>
      </c>
      <c r="D474" s="14" t="n">
        <f aca="false">MAX(D471,D472,D473,0)</f>
        <v>0</v>
      </c>
    </row>
    <row r="475" customFormat="false" ht="15" hidden="false" customHeight="false" outlineLevel="0" collapsed="false">
      <c r="C475" s="8" t="s">
        <v>152</v>
      </c>
      <c r="D475" s="14" t="n">
        <f aca="false">D470*Proyecto!$C$32*Referencia!$C$179</f>
        <v>0</v>
      </c>
    </row>
    <row r="476" customFormat="false" ht="15" hidden="false" customHeight="false" outlineLevel="0" collapsed="false">
      <c r="C476" s="8" t="s">
        <v>153</v>
      </c>
      <c r="D476" s="14" t="n">
        <f aca="false">D474*Proyecto!$C$32*Referencia!$C$179</f>
        <v>0</v>
      </c>
    </row>
    <row r="477" customFormat="false" ht="15" hidden="false" customHeight="false" outlineLevel="0" collapsed="false">
      <c r="C477" s="8" t="s">
        <v>154</v>
      </c>
      <c r="D477" s="14" t="n">
        <f aca="false">D467+D475</f>
        <v>0</v>
      </c>
    </row>
    <row r="478" customFormat="false" ht="15" hidden="false" customHeight="false" outlineLevel="0" collapsed="false">
      <c r="C478" s="8" t="s">
        <v>155</v>
      </c>
      <c r="D478" s="14" t="n">
        <f aca="false">D477*Proyecto!$C$39</f>
        <v>0</v>
      </c>
    </row>
    <row r="479" customFormat="false" ht="15" hidden="false" customHeight="false" outlineLevel="0" collapsed="false">
      <c r="C479" s="8" t="s">
        <v>156</v>
      </c>
      <c r="D479" s="14" t="n">
        <f aca="false">D477+D478</f>
        <v>0</v>
      </c>
    </row>
    <row r="480" customFormat="false" ht="15" hidden="false" customHeight="false" outlineLevel="0" collapsed="false">
      <c r="C480" s="8" t="s">
        <v>157</v>
      </c>
      <c r="D480" s="36" t="n">
        <f aca="false">D479+D476</f>
        <v>0</v>
      </c>
    </row>
    <row r="482" customFormat="false" ht="15" hidden="false" customHeight="false" outlineLevel="0" collapsed="false">
      <c r="C482" s="34" t="s">
        <v>158</v>
      </c>
      <c r="D482" s="37" t="n">
        <f aca="false">Referencia!C$132</f>
        <v>8</v>
      </c>
      <c r="E482" s="37" t="n">
        <f aca="false">Referencia!D$132</f>
        <v>9</v>
      </c>
      <c r="F482" s="37" t="n">
        <f aca="false">Referencia!E$132</f>
        <v>10</v>
      </c>
      <c r="G482" s="37" t="n">
        <f aca="false">Referencia!F$132</f>
        <v>11</v>
      </c>
      <c r="H482" s="37" t="n">
        <f aca="false">Referencia!G$132</f>
        <v>12</v>
      </c>
      <c r="I482" s="37" t="n">
        <f aca="false">Referencia!H$132</f>
        <v>13</v>
      </c>
      <c r="J482" s="37" t="n">
        <f aca="false">Referencia!I$132</f>
        <v>14</v>
      </c>
      <c r="K482" s="37" t="n">
        <f aca="false">Referencia!J$132</f>
        <v>15</v>
      </c>
      <c r="L482" s="37" t="n">
        <f aca="false">Referencia!K$132</f>
        <v>16</v>
      </c>
      <c r="M482" s="37" t="n">
        <f aca="false">Referencia!L$132</f>
        <v>17</v>
      </c>
      <c r="N482" s="37" t="n">
        <f aca="false">Referencia!M$132</f>
        <v>18</v>
      </c>
    </row>
    <row r="483" customFormat="false" ht="15" hidden="false" customHeight="false" outlineLevel="0" collapsed="false">
      <c r="C483" s="8" t="s">
        <v>159</v>
      </c>
      <c r="D483" s="14" t="n">
        <f aca="false">D448*SUMPRODUCT(Captura_Zonas!$H$12:$O$12,Referencia!$C$158:$J$158)</f>
        <v>0</v>
      </c>
      <c r="E483" s="14" t="n">
        <f aca="false">D448*SUMPRODUCT(Captura_Zonas!$H$12:$O$12,Referencia!$C$159:$J$159)</f>
        <v>0</v>
      </c>
      <c r="F483" s="14" t="n">
        <f aca="false">D448*SUMPRODUCT(Captura_Zonas!$H$12:$O$12,Referencia!$C$160:$J$160)</f>
        <v>0</v>
      </c>
      <c r="G483" s="14" t="n">
        <f aca="false">D448*SUMPRODUCT(Captura_Zonas!$H$12:$O$12,Referencia!$C$161:$J$161)</f>
        <v>0</v>
      </c>
      <c r="H483" s="14" t="n">
        <f aca="false">D448*SUMPRODUCT(Captura_Zonas!$H$12:$O$12,Referencia!$C$162:$J$162)</f>
        <v>0</v>
      </c>
      <c r="I483" s="14" t="n">
        <f aca="false">D448*SUMPRODUCT(Captura_Zonas!$H$12:$O$12,Referencia!$C$163:$J$163)</f>
        <v>0</v>
      </c>
      <c r="J483" s="14" t="n">
        <f aca="false">D448*SUMPRODUCT(Captura_Zonas!$H$12:$O$12,Referencia!$C$164:$J$164)</f>
        <v>0</v>
      </c>
      <c r="K483" s="14" t="n">
        <f aca="false">D448*SUMPRODUCT(Captura_Zonas!$H$12:$O$12,Referencia!$C$165:$J$165)</f>
        <v>0</v>
      </c>
      <c r="L483" s="14" t="n">
        <f aca="false">D448*SUMPRODUCT(Captura_Zonas!$H$12:$O$12,Referencia!$C$166:$J$166)</f>
        <v>0</v>
      </c>
      <c r="M483" s="14" t="n">
        <f aca="false">D448*SUMPRODUCT(Captura_Zonas!$H$12:$O$12,Referencia!$C$167:$J$167)</f>
        <v>0</v>
      </c>
      <c r="N483" s="14" t="n">
        <f aca="false">D448*SUMPRODUCT(Captura_Zonas!$H$12:$O$12,Referencia!$C$168:$J$168)</f>
        <v>0</v>
      </c>
    </row>
    <row r="484" customFormat="false" ht="15" hidden="false" customHeight="false" outlineLevel="0" collapsed="false">
      <c r="C484" s="8" t="s">
        <v>160</v>
      </c>
      <c r="D484" s="14" t="n">
        <f aca="false">D450*Captura_Zonas!P12*Referencia!C$171</f>
        <v>0</v>
      </c>
      <c r="E484" s="14" t="n">
        <f aca="false">D450*Captura_Zonas!P12*Referencia!D$171</f>
        <v>0</v>
      </c>
      <c r="F484" s="14" t="n">
        <f aca="false">D450*Captura_Zonas!P12*Referencia!E$171</f>
        <v>0</v>
      </c>
      <c r="G484" s="14" t="n">
        <f aca="false">D450*Captura_Zonas!P12*Referencia!F$171</f>
        <v>0</v>
      </c>
      <c r="H484" s="14" t="n">
        <f aca="false">D450*Captura_Zonas!P12*Referencia!G$171</f>
        <v>0</v>
      </c>
      <c r="I484" s="14" t="n">
        <f aca="false">D450*Captura_Zonas!P12*Referencia!H$171</f>
        <v>0</v>
      </c>
      <c r="J484" s="14" t="n">
        <f aca="false">D450*Captura_Zonas!P12*Referencia!I$171</f>
        <v>0</v>
      </c>
      <c r="K484" s="14" t="n">
        <f aca="false">D450*Captura_Zonas!P12*Referencia!J$171</f>
        <v>0</v>
      </c>
      <c r="L484" s="14" t="n">
        <f aca="false">D450*Captura_Zonas!P12*Referencia!K$171</f>
        <v>0</v>
      </c>
      <c r="M484" s="14" t="n">
        <f aca="false">D450*Captura_Zonas!P12*Referencia!L$171</f>
        <v>0</v>
      </c>
      <c r="N484" s="14" t="n">
        <f aca="false">D450*Captura_Zonas!P12*Referencia!M$171</f>
        <v>0</v>
      </c>
    </row>
    <row r="485" customFormat="false" ht="15" hidden="false" customHeight="false" outlineLevel="0" collapsed="false">
      <c r="C485" s="8" t="s">
        <v>161</v>
      </c>
      <c r="D485" s="14" t="n">
        <f aca="false">D452*(Captura_Zonas!S12+Captura_Zonas!T12+Captura_Zonas!U12+Captura_Zonas!V12+Captura_Zonas!W12+Captura_Zonas!X12+Captura_Zonas!Y12+Captura_Zonas!Z12)*Referencia!C$139</f>
        <v>0</v>
      </c>
      <c r="E485" s="14" t="n">
        <f aca="false">D452*(Captura_Zonas!S12+Captura_Zonas!T12+Captura_Zonas!U12+Captura_Zonas!V12+Captura_Zonas!W12+Captura_Zonas!X12+Captura_Zonas!Y12+Captura_Zonas!Z12)*Referencia!D$139</f>
        <v>0</v>
      </c>
      <c r="F485" s="14" t="n">
        <f aca="false">D452*(Captura_Zonas!S12+Captura_Zonas!T12+Captura_Zonas!U12+Captura_Zonas!V12+Captura_Zonas!W12+Captura_Zonas!X12+Captura_Zonas!Y12+Captura_Zonas!Z12)*Referencia!E$139</f>
        <v>0</v>
      </c>
      <c r="G485" s="14" t="n">
        <f aca="false">D452*(Captura_Zonas!S12+Captura_Zonas!T12+Captura_Zonas!U12+Captura_Zonas!V12+Captura_Zonas!W12+Captura_Zonas!X12+Captura_Zonas!Y12+Captura_Zonas!Z12)*Referencia!F$139</f>
        <v>0</v>
      </c>
      <c r="H485" s="14" t="n">
        <f aca="false">D452*(Captura_Zonas!S12+Captura_Zonas!T12+Captura_Zonas!U12+Captura_Zonas!V12+Captura_Zonas!W12+Captura_Zonas!X12+Captura_Zonas!Y12+Captura_Zonas!Z12)*Referencia!G$139</f>
        <v>0</v>
      </c>
      <c r="I485" s="14" t="n">
        <f aca="false">D452*(Captura_Zonas!S12+Captura_Zonas!T12+Captura_Zonas!U12+Captura_Zonas!V12+Captura_Zonas!W12+Captura_Zonas!X12+Captura_Zonas!Y12+Captura_Zonas!Z12)*Referencia!H$139</f>
        <v>0</v>
      </c>
      <c r="J485" s="14" t="n">
        <f aca="false">D452*(Captura_Zonas!S12+Captura_Zonas!T12+Captura_Zonas!U12+Captura_Zonas!V12+Captura_Zonas!W12+Captura_Zonas!X12+Captura_Zonas!Y12+Captura_Zonas!Z12)*Referencia!I$139</f>
        <v>0</v>
      </c>
      <c r="K485" s="14" t="n">
        <f aca="false">D452*(Captura_Zonas!S12+Captura_Zonas!T12+Captura_Zonas!U12+Captura_Zonas!V12+Captura_Zonas!W12+Captura_Zonas!X12+Captura_Zonas!Y12+Captura_Zonas!Z12)*Referencia!J$139</f>
        <v>0</v>
      </c>
      <c r="L485" s="14" t="n">
        <f aca="false">D452*(Captura_Zonas!S12+Captura_Zonas!T12+Captura_Zonas!U12+Captura_Zonas!V12+Captura_Zonas!W12+Captura_Zonas!X12+Captura_Zonas!Y12+Captura_Zonas!Z12)*Referencia!K$139</f>
        <v>0</v>
      </c>
      <c r="M485" s="14" t="n">
        <f aca="false">D452*(Captura_Zonas!S12+Captura_Zonas!T12+Captura_Zonas!U12+Captura_Zonas!V12+Captura_Zonas!W12+Captura_Zonas!X12+Captura_Zonas!Y12+Captura_Zonas!Z12)*Referencia!L$139</f>
        <v>0</v>
      </c>
      <c r="N485" s="14" t="n">
        <f aca="false">D452*(Captura_Zonas!S12+Captura_Zonas!T12+Captura_Zonas!U12+Captura_Zonas!V12+Captura_Zonas!W12+Captura_Zonas!X12+Captura_Zonas!Y12+Captura_Zonas!Z12)*Referencia!M$139</f>
        <v>0</v>
      </c>
    </row>
    <row r="486" customFormat="false" ht="15" hidden="false" customHeight="false" outlineLevel="0" collapsed="false">
      <c r="C486" s="8" t="s">
        <v>162</v>
      </c>
      <c r="D486" s="14" t="n">
        <f aca="false">D453*D458*SUMPRODUCT(Captura_Zonas!$S$12:$Z$12,Referencia!$C$111:$J$111,Referencia!$C$119:$J$119)</f>
        <v>0</v>
      </c>
      <c r="E486" s="14" t="n">
        <f aca="false">D453*D458*SUMPRODUCT(Captura_Zonas!$S$12:$Z$12,Referencia!$C$111:$J$111,Referencia!$C$120:$J$120)</f>
        <v>0</v>
      </c>
      <c r="F486" s="14" t="n">
        <f aca="false">D453*D458*SUMPRODUCT(Captura_Zonas!$S$12:$Z$12,Referencia!$C$111:$J$111,Referencia!$C$121:$J$121)</f>
        <v>0</v>
      </c>
      <c r="G486" s="14" t="n">
        <f aca="false">D453*D458*SUMPRODUCT(Captura_Zonas!$S$12:$Z$12,Referencia!$C$111:$J$111,Referencia!$C$122:$J$122)</f>
        <v>0</v>
      </c>
      <c r="H486" s="14" t="n">
        <f aca="false">D453*D458*SUMPRODUCT(Captura_Zonas!$S$12:$Z$12,Referencia!$C$111:$J$111,Referencia!$C$123:$J$123)</f>
        <v>0</v>
      </c>
      <c r="I486" s="14" t="n">
        <f aca="false">D453*D458*SUMPRODUCT(Captura_Zonas!$S$12:$Z$12,Referencia!$C$111:$J$111,Referencia!$C$124:$J$124)</f>
        <v>0</v>
      </c>
      <c r="J486" s="14" t="n">
        <f aca="false">D453*D458*SUMPRODUCT(Captura_Zonas!$S$12:$Z$12,Referencia!$C$111:$J$111,Referencia!$C$125:$J$125)</f>
        <v>0</v>
      </c>
      <c r="K486" s="14" t="n">
        <f aca="false">D453*D458*SUMPRODUCT(Captura_Zonas!$S$12:$Z$12,Referencia!$C$111:$J$111,Referencia!$C$126:$J$126)</f>
        <v>0</v>
      </c>
      <c r="L486" s="14" t="n">
        <f aca="false">D453*D458*SUMPRODUCT(Captura_Zonas!$S$12:$Z$12,Referencia!$C$111:$J$111,Referencia!$C$127:$J$127)</f>
        <v>0</v>
      </c>
      <c r="M486" s="14" t="n">
        <f aca="false">D453*D458*SUMPRODUCT(Captura_Zonas!$S$12:$Z$12,Referencia!$C$111:$J$111,Referencia!$C$128:$J$128)</f>
        <v>0</v>
      </c>
      <c r="N486" s="14" t="n">
        <f aca="false">D453*D458*SUMPRODUCT(Captura_Zonas!$S$12:$Z$12,Referencia!$C$111:$J$111,Referencia!$C$129:$J$129)</f>
        <v>0</v>
      </c>
    </row>
    <row r="487" customFormat="false" ht="15" hidden="false" customHeight="false" outlineLevel="0" collapsed="false">
      <c r="C487" s="8" t="s">
        <v>163</v>
      </c>
      <c r="D487" s="14" t="n">
        <f aca="false">D438*Proyecto!$C$52*Proyecto!$C$51*MAX(3,Referencia!C$139*0.35)</f>
        <v>0</v>
      </c>
      <c r="E487" s="14" t="n">
        <f aca="false">D438*Proyecto!$C$52*Proyecto!$C$51*MAX(3,Referencia!D$139*0.35)</f>
        <v>0</v>
      </c>
      <c r="F487" s="14" t="n">
        <f aca="false">D438*Proyecto!$C$52*Proyecto!$C$51*MAX(3,Referencia!E$139*0.35)</f>
        <v>0</v>
      </c>
      <c r="G487" s="14" t="n">
        <f aca="false">D438*Proyecto!$C$52*Proyecto!$C$51*MAX(3,Referencia!F$139*0.35)</f>
        <v>0</v>
      </c>
      <c r="H487" s="14" t="n">
        <f aca="false">D438*Proyecto!$C$52*Proyecto!$C$51*MAX(3,Referencia!G$139*0.35)</f>
        <v>0</v>
      </c>
      <c r="I487" s="14" t="n">
        <f aca="false">D438*Proyecto!$C$52*Proyecto!$C$51*MAX(3,Referencia!H$139*0.35)</f>
        <v>0</v>
      </c>
      <c r="J487" s="14" t="n">
        <f aca="false">D438*Proyecto!$C$52*Proyecto!$C$51*MAX(3,Referencia!I$139*0.35)</f>
        <v>0</v>
      </c>
      <c r="K487" s="14" t="n">
        <f aca="false">D438*Proyecto!$C$52*Proyecto!$C$51*MAX(3,Referencia!J$139*0.35)</f>
        <v>0</v>
      </c>
      <c r="L487" s="14" t="n">
        <f aca="false">D438*Proyecto!$C$52*Proyecto!$C$51*MAX(3,Referencia!K$139*0.35)</f>
        <v>0</v>
      </c>
      <c r="M487" s="14" t="n">
        <f aca="false">D438*Proyecto!$C$52*Proyecto!$C$51*MAX(3,Referencia!L$139*0.35)</f>
        <v>0</v>
      </c>
      <c r="N487" s="14" t="n">
        <f aca="false">D438*Proyecto!$C$52*Proyecto!$C$51*MAX(3,Referencia!M$139*0.35)</f>
        <v>0</v>
      </c>
    </row>
    <row r="488" customFormat="false" ht="15" hidden="false" customHeight="false" outlineLevel="0" collapsed="false">
      <c r="C488" s="8" t="s">
        <v>164</v>
      </c>
      <c r="D488" s="14" t="n">
        <f aca="false">IF(Captura_Zonas!P12&lt;=0,D438*Proyecto!$C$54*Proyecto!$C$53*MAX(2,Referencia!C$139*0.25),0)</f>
        <v>0</v>
      </c>
      <c r="E488" s="14" t="n">
        <f aca="false">IF(Captura_Zonas!P12&lt;=0,D438*Proyecto!$C$54*Proyecto!$C$53*MAX(2,Referencia!D$139*0.25),0)</f>
        <v>0</v>
      </c>
      <c r="F488" s="14" t="n">
        <f aca="false">IF(Captura_Zonas!P12&lt;=0,D438*Proyecto!$C$54*Proyecto!$C$53*MAX(2,Referencia!E$139*0.25),0)</f>
        <v>0</v>
      </c>
      <c r="G488" s="14" t="n">
        <f aca="false">IF(Captura_Zonas!P12&lt;=0,D438*Proyecto!$C$54*Proyecto!$C$53*MAX(2,Referencia!F$139*0.25),0)</f>
        <v>0</v>
      </c>
      <c r="H488" s="14" t="n">
        <f aca="false">IF(Captura_Zonas!P12&lt;=0,D438*Proyecto!$C$54*Proyecto!$C$53*MAX(2,Referencia!G$139*0.25),0)</f>
        <v>0</v>
      </c>
      <c r="I488" s="14" t="n">
        <f aca="false">IF(Captura_Zonas!P12&lt;=0,D438*Proyecto!$C$54*Proyecto!$C$53*MAX(2,Referencia!H$139*0.25),0)</f>
        <v>0</v>
      </c>
      <c r="J488" s="14" t="n">
        <f aca="false">IF(Captura_Zonas!P12&lt;=0,D438*Proyecto!$C$54*Proyecto!$C$53*MAX(2,Referencia!I$139*0.25),0)</f>
        <v>0</v>
      </c>
      <c r="K488" s="14" t="n">
        <f aca="false">IF(Captura_Zonas!P12&lt;=0,D438*Proyecto!$C$54*Proyecto!$C$53*MAX(2,Referencia!J$139*0.25),0)</f>
        <v>0</v>
      </c>
      <c r="L488" s="14" t="n">
        <f aca="false">IF(Captura_Zonas!P12&lt;=0,D438*Proyecto!$C$54*Proyecto!$C$53*MAX(2,Referencia!K$139*0.25),0)</f>
        <v>0</v>
      </c>
      <c r="M488" s="14" t="n">
        <f aca="false">IF(Captura_Zonas!P12&lt;=0,D438*Proyecto!$C$54*Proyecto!$C$53*MAX(2,Referencia!L$139*0.25),0)</f>
        <v>0</v>
      </c>
      <c r="N488" s="14" t="n">
        <f aca="false">IF(Captura_Zonas!P12&lt;=0,D438*Proyecto!$C$54*Proyecto!$C$53*MAX(2,Referencia!M$139*0.25),0)</f>
        <v>0</v>
      </c>
    </row>
    <row r="489" customFormat="false" ht="15" hidden="false" customHeight="false" outlineLevel="0" collapsed="false">
      <c r="C489" s="8" t="s">
        <v>165</v>
      </c>
      <c r="D489" s="14" t="n">
        <f aca="false">D470*Proyecto!$C$31*Referencia!C$139</f>
        <v>0</v>
      </c>
      <c r="E489" s="14" t="n">
        <f aca="false">D470*Proyecto!$C$31*Referencia!D$139</f>
        <v>0</v>
      </c>
      <c r="F489" s="14" t="n">
        <f aca="false">D470*Proyecto!$C$31*Referencia!E$139</f>
        <v>0</v>
      </c>
      <c r="G489" s="14" t="n">
        <f aca="false">D470*Proyecto!$C$31*Referencia!F$139</f>
        <v>0</v>
      </c>
      <c r="H489" s="14" t="n">
        <f aca="false">D470*Proyecto!$C$31*Referencia!G$139</f>
        <v>0</v>
      </c>
      <c r="I489" s="14" t="n">
        <f aca="false">D470*Proyecto!$C$31*Referencia!H$139</f>
        <v>0</v>
      </c>
      <c r="J489" s="14" t="n">
        <f aca="false">D470*Proyecto!$C$31*Referencia!I$139</f>
        <v>0</v>
      </c>
      <c r="K489" s="14" t="n">
        <f aca="false">D470*Proyecto!$C$31*Referencia!J$139</f>
        <v>0</v>
      </c>
      <c r="L489" s="14" t="n">
        <f aca="false">D470*Proyecto!$C$31*Referencia!K$139</f>
        <v>0</v>
      </c>
      <c r="M489" s="14" t="n">
        <f aca="false">D470*Proyecto!$C$31*Referencia!L$139</f>
        <v>0</v>
      </c>
      <c r="N489" s="14" t="n">
        <f aca="false">D470*Proyecto!$C$31*Referencia!M$139</f>
        <v>0</v>
      </c>
    </row>
    <row r="490" customFormat="false" ht="15" hidden="false" customHeight="false" outlineLevel="0" collapsed="false">
      <c r="C490" s="8" t="s">
        <v>166</v>
      </c>
      <c r="D490" s="14" t="n">
        <f aca="false">D474*Proyecto!$C$31*Referencia!C$139</f>
        <v>0</v>
      </c>
      <c r="E490" s="14" t="n">
        <f aca="false">D474*Proyecto!$C$31*Referencia!D$139</f>
        <v>0</v>
      </c>
      <c r="F490" s="14" t="n">
        <f aca="false">D474*Proyecto!$C$31*Referencia!E$139</f>
        <v>0</v>
      </c>
      <c r="G490" s="14" t="n">
        <f aca="false">D474*Proyecto!$C$31*Referencia!F$139</f>
        <v>0</v>
      </c>
      <c r="H490" s="14" t="n">
        <f aca="false">D474*Proyecto!$C$31*Referencia!G$139</f>
        <v>0</v>
      </c>
      <c r="I490" s="14" t="n">
        <f aca="false">D474*Proyecto!$C$31*Referencia!H$139</f>
        <v>0</v>
      </c>
      <c r="J490" s="14" t="n">
        <f aca="false">D474*Proyecto!$C$31*Referencia!I$139</f>
        <v>0</v>
      </c>
      <c r="K490" s="14" t="n">
        <f aca="false">D474*Proyecto!$C$31*Referencia!J$139</f>
        <v>0</v>
      </c>
      <c r="L490" s="14" t="n">
        <f aca="false">D474*Proyecto!$C$31*Referencia!K$139</f>
        <v>0</v>
      </c>
      <c r="M490" s="14" t="n">
        <f aca="false">D474*Proyecto!$C$31*Referencia!L$139</f>
        <v>0</v>
      </c>
      <c r="N490" s="14" t="n">
        <f aca="false">D474*Proyecto!$C$31*Referencia!M$139</f>
        <v>0</v>
      </c>
    </row>
    <row r="491" customFormat="false" ht="15" hidden="false" customHeight="false" outlineLevel="0" collapsed="false">
      <c r="C491" s="8" t="s">
        <v>167</v>
      </c>
      <c r="D491" s="14" t="n">
        <f aca="false">D483+D484+D485+D486+D487+D488+$D$466+$D$468+$D$469+D489</f>
        <v>0</v>
      </c>
      <c r="E491" s="14" t="n">
        <f aca="false">E483+E484+E485+E486+E487+E488+$D$466+$D$468+$D$469+E489</f>
        <v>0</v>
      </c>
      <c r="F491" s="14" t="n">
        <f aca="false">F483+F484+F485+F486+F487+F488+$D$466+$D$468+$D$469+F489</f>
        <v>0</v>
      </c>
      <c r="G491" s="14" t="n">
        <f aca="false">G483+G484+G485+G486+G487+G488+$D$466+$D$468+$D$469+G489</f>
        <v>0</v>
      </c>
      <c r="H491" s="14" t="n">
        <f aca="false">H483+H484+H485+H486+H487+H488+$D$466+$D$468+$D$469+H489</f>
        <v>0</v>
      </c>
      <c r="I491" s="14" t="n">
        <f aca="false">I483+I484+I485+I486+I487+I488+$D$466+$D$468+$D$469+I489</f>
        <v>0</v>
      </c>
      <c r="J491" s="14" t="n">
        <f aca="false">J483+J484+J485+J486+J487+J488+$D$466+$D$468+$D$469+J489</f>
        <v>0</v>
      </c>
      <c r="K491" s="14" t="n">
        <f aca="false">K483+K484+K485+K486+K487+K488+$D$466+$D$468+$D$469+K489</f>
        <v>0</v>
      </c>
      <c r="L491" s="14" t="n">
        <f aca="false">L483+L484+L485+L486+L487+L488+$D$466+$D$468+$D$469+L489</f>
        <v>0</v>
      </c>
      <c r="M491" s="14" t="n">
        <f aca="false">M483+M484+M485+M486+M487+M488+$D$466+$D$468+$D$469+M489</f>
        <v>0</v>
      </c>
      <c r="N491" s="14" t="n">
        <f aca="false">N483+N484+N485+N486+N487+N488+$D$466+$D$468+$D$469+N489</f>
        <v>0</v>
      </c>
    </row>
    <row r="492" customFormat="false" ht="15" hidden="false" customHeight="false" outlineLevel="0" collapsed="false">
      <c r="C492" s="8" t="s">
        <v>168</v>
      </c>
      <c r="D492" s="14" t="n">
        <f aca="false">D491*Proyecto!$C$42</f>
        <v>0</v>
      </c>
      <c r="E492" s="14" t="n">
        <f aca="false">E491*Proyecto!$C$42</f>
        <v>0</v>
      </c>
      <c r="F492" s="14" t="n">
        <f aca="false">F491*Proyecto!$C$42</f>
        <v>0</v>
      </c>
      <c r="G492" s="14" t="n">
        <f aca="false">G491*Proyecto!$C$42</f>
        <v>0</v>
      </c>
      <c r="H492" s="14" t="n">
        <f aca="false">H491*Proyecto!$C$42</f>
        <v>0</v>
      </c>
      <c r="I492" s="14" t="n">
        <f aca="false">I491*Proyecto!$C$42</f>
        <v>0</v>
      </c>
      <c r="J492" s="14" t="n">
        <f aca="false">J491*Proyecto!$C$42</f>
        <v>0</v>
      </c>
      <c r="K492" s="14" t="n">
        <f aca="false">K491*Proyecto!$C$42</f>
        <v>0</v>
      </c>
      <c r="L492" s="14" t="n">
        <f aca="false">L491*Proyecto!$C$42</f>
        <v>0</v>
      </c>
      <c r="M492" s="14" t="n">
        <f aca="false">M491*Proyecto!$C$42</f>
        <v>0</v>
      </c>
      <c r="N492" s="14" t="n">
        <f aca="false">N491*Proyecto!$C$42</f>
        <v>0</v>
      </c>
    </row>
    <row r="493" customFormat="false" ht="15" hidden="false" customHeight="false" outlineLevel="0" collapsed="false">
      <c r="C493" s="8" t="s">
        <v>169</v>
      </c>
      <c r="D493" s="14" t="n">
        <f aca="false">D491*Proyecto!$C$43</f>
        <v>0</v>
      </c>
      <c r="E493" s="14" t="n">
        <f aca="false">E491*Proyecto!$C$43</f>
        <v>0</v>
      </c>
      <c r="F493" s="14" t="n">
        <f aca="false">F491*Proyecto!$C$43</f>
        <v>0</v>
      </c>
      <c r="G493" s="14" t="n">
        <f aca="false">G491*Proyecto!$C$43</f>
        <v>0</v>
      </c>
      <c r="H493" s="14" t="n">
        <f aca="false">H491*Proyecto!$C$43</f>
        <v>0</v>
      </c>
      <c r="I493" s="14" t="n">
        <f aca="false">I491*Proyecto!$C$43</f>
        <v>0</v>
      </c>
      <c r="J493" s="14" t="n">
        <f aca="false">J491*Proyecto!$C$43</f>
        <v>0</v>
      </c>
      <c r="K493" s="14" t="n">
        <f aca="false">K491*Proyecto!$C$43</f>
        <v>0</v>
      </c>
      <c r="L493" s="14" t="n">
        <f aca="false">L491*Proyecto!$C$43</f>
        <v>0</v>
      </c>
      <c r="M493" s="14" t="n">
        <f aca="false">M491*Proyecto!$C$43</f>
        <v>0</v>
      </c>
      <c r="N493" s="14" t="n">
        <f aca="false">N491*Proyecto!$C$43</f>
        <v>0</v>
      </c>
    </row>
    <row r="494" customFormat="false" ht="15" hidden="false" customHeight="false" outlineLevel="0" collapsed="false">
      <c r="C494" s="8" t="s">
        <v>170</v>
      </c>
      <c r="D494" s="14" t="n">
        <f aca="false">(D491+D492+D493)*Proyecto!$C$39</f>
        <v>0</v>
      </c>
      <c r="E494" s="14" t="n">
        <f aca="false">(E491+E492+E493)*Proyecto!$C$39</f>
        <v>0</v>
      </c>
      <c r="F494" s="14" t="n">
        <f aca="false">(F491+F492+F493)*Proyecto!$C$39</f>
        <v>0</v>
      </c>
      <c r="G494" s="14" t="n">
        <f aca="false">(G491+G492+G493)*Proyecto!$C$39</f>
        <v>0</v>
      </c>
      <c r="H494" s="14" t="n">
        <f aca="false">(H491+H492+H493)*Proyecto!$C$39</f>
        <v>0</v>
      </c>
      <c r="I494" s="14" t="n">
        <f aca="false">(I491+I492+I493)*Proyecto!$C$39</f>
        <v>0</v>
      </c>
      <c r="J494" s="14" t="n">
        <f aca="false">(J491+J492+J493)*Proyecto!$C$39</f>
        <v>0</v>
      </c>
      <c r="K494" s="14" t="n">
        <f aca="false">(K491+K492+K493)*Proyecto!$C$39</f>
        <v>0</v>
      </c>
      <c r="L494" s="14" t="n">
        <f aca="false">(L491+L492+L493)*Proyecto!$C$39</f>
        <v>0</v>
      </c>
      <c r="M494" s="14" t="n">
        <f aca="false">(M491+M492+M493)*Proyecto!$C$39</f>
        <v>0</v>
      </c>
      <c r="N494" s="14" t="n">
        <f aca="false">(N491+N492+N493)*Proyecto!$C$39</f>
        <v>0</v>
      </c>
    </row>
    <row r="495" customFormat="false" ht="15" hidden="false" customHeight="false" outlineLevel="0" collapsed="false">
      <c r="C495" s="8" t="s">
        <v>171</v>
      </c>
      <c r="D495" s="14" t="n">
        <f aca="false">D491+D492+D493+D494</f>
        <v>0</v>
      </c>
      <c r="E495" s="14" t="n">
        <f aca="false">E491+E492+E493+E494</f>
        <v>0</v>
      </c>
      <c r="F495" s="14" t="n">
        <f aca="false">F491+F492+F493+F494</f>
        <v>0</v>
      </c>
      <c r="G495" s="14" t="n">
        <f aca="false">G491+G492+G493+G494</f>
        <v>0</v>
      </c>
      <c r="H495" s="14" t="n">
        <f aca="false">H491+H492+H493+H494</f>
        <v>0</v>
      </c>
      <c r="I495" s="14" t="n">
        <f aca="false">I491+I492+I493+I494</f>
        <v>0</v>
      </c>
      <c r="J495" s="14" t="n">
        <f aca="false">J491+J492+J493+J494</f>
        <v>0</v>
      </c>
      <c r="K495" s="14" t="n">
        <f aca="false">K491+K492+K493+K494</f>
        <v>0</v>
      </c>
      <c r="L495" s="14" t="n">
        <f aca="false">L491+L492+L493+L494</f>
        <v>0</v>
      </c>
      <c r="M495" s="14" t="n">
        <f aca="false">M491+M492+M493+M494</f>
        <v>0</v>
      </c>
      <c r="N495" s="14" t="n">
        <f aca="false">N491+N492+N493+N494</f>
        <v>0</v>
      </c>
    </row>
    <row r="496" customFormat="false" ht="15" hidden="false" customHeight="false" outlineLevel="0" collapsed="false">
      <c r="C496" s="8" t="s">
        <v>172</v>
      </c>
      <c r="D496" s="14" t="n">
        <f aca="false">D495+D490</f>
        <v>0</v>
      </c>
      <c r="E496" s="14" t="n">
        <f aca="false">E495+E490</f>
        <v>0</v>
      </c>
      <c r="F496" s="14" t="n">
        <f aca="false">F495+F490</f>
        <v>0</v>
      </c>
      <c r="G496" s="14" t="n">
        <f aca="false">G495+G490</f>
        <v>0</v>
      </c>
      <c r="H496" s="14" t="n">
        <f aca="false">H495+H490</f>
        <v>0</v>
      </c>
      <c r="I496" s="14" t="n">
        <f aca="false">I495+I490</f>
        <v>0</v>
      </c>
      <c r="J496" s="14" t="n">
        <f aca="false">J495+J490</f>
        <v>0</v>
      </c>
      <c r="K496" s="14" t="n">
        <f aca="false">K495+K490</f>
        <v>0</v>
      </c>
      <c r="L496" s="14" t="n">
        <f aca="false">L495+L490</f>
        <v>0</v>
      </c>
      <c r="M496" s="14" t="n">
        <f aca="false">M495+M490</f>
        <v>0</v>
      </c>
      <c r="N496" s="14" t="n">
        <f aca="false">N495+N490</f>
        <v>0</v>
      </c>
    </row>
    <row r="497" customFormat="false" ht="15" hidden="false" customHeight="false" outlineLevel="0" collapsed="false">
      <c r="C497" s="38" t="s">
        <v>173</v>
      </c>
      <c r="D497" s="36" t="n">
        <f aca="false">D496+$D$480</f>
        <v>0</v>
      </c>
      <c r="E497" s="36" t="n">
        <f aca="false">E496+$D$480</f>
        <v>0</v>
      </c>
      <c r="F497" s="36" t="n">
        <f aca="false">F496+$D$480</f>
        <v>0</v>
      </c>
      <c r="G497" s="36" t="n">
        <f aca="false">G496+$D$480</f>
        <v>0</v>
      </c>
      <c r="H497" s="36" t="n">
        <f aca="false">H496+$D$480</f>
        <v>0</v>
      </c>
      <c r="I497" s="36" t="n">
        <f aca="false">I496+$D$480</f>
        <v>0</v>
      </c>
      <c r="J497" s="36" t="n">
        <f aca="false">J496+$D$480</f>
        <v>0</v>
      </c>
      <c r="K497" s="36" t="n">
        <f aca="false">K496+$D$480</f>
        <v>0</v>
      </c>
      <c r="L497" s="36" t="n">
        <f aca="false">L496+$D$480</f>
        <v>0</v>
      </c>
      <c r="M497" s="36" t="n">
        <f aca="false">M496+$D$480</f>
        <v>0</v>
      </c>
      <c r="N497" s="36" t="n">
        <f aca="false">N496+$D$480</f>
        <v>0</v>
      </c>
    </row>
    <row r="498" customFormat="false" ht="15" hidden="false" customHeight="false" outlineLevel="0" collapsed="false">
      <c r="C498" s="8" t="s">
        <v>174</v>
      </c>
      <c r="D498" s="15" t="n">
        <f aca="false">D497/Proyecto!$C$48</f>
        <v>0</v>
      </c>
      <c r="E498" s="15" t="n">
        <f aca="false">E497/Proyecto!$C$48</f>
        <v>0</v>
      </c>
      <c r="F498" s="15" t="n">
        <f aca="false">F497/Proyecto!$C$48</f>
        <v>0</v>
      </c>
      <c r="G498" s="15" t="n">
        <f aca="false">G497/Proyecto!$C$48</f>
        <v>0</v>
      </c>
      <c r="H498" s="15" t="n">
        <f aca="false">H497/Proyecto!$C$48</f>
        <v>0</v>
      </c>
      <c r="I498" s="15" t="n">
        <f aca="false">I497/Proyecto!$C$48</f>
        <v>0</v>
      </c>
      <c r="J498" s="15" t="n">
        <f aca="false">J497/Proyecto!$C$48</f>
        <v>0</v>
      </c>
      <c r="K498" s="15" t="n">
        <f aca="false">K497/Proyecto!$C$48</f>
        <v>0</v>
      </c>
      <c r="L498" s="15" t="n">
        <f aca="false">L497/Proyecto!$C$48</f>
        <v>0</v>
      </c>
      <c r="M498" s="15" t="n">
        <f aca="false">M497/Proyecto!$C$48</f>
        <v>0</v>
      </c>
      <c r="N498" s="15" t="n">
        <f aca="false">N497/Proyecto!$C$48</f>
        <v>0</v>
      </c>
    </row>
    <row r="500" customFormat="false" ht="15" hidden="false" customHeight="false" outlineLevel="0" collapsed="false">
      <c r="C500" s="8" t="s">
        <v>175</v>
      </c>
      <c r="D500" s="36" t="n">
        <f aca="false">MAX(D497:N497)</f>
        <v>0</v>
      </c>
    </row>
    <row r="501" customFormat="false" ht="15" hidden="false" customHeight="false" outlineLevel="0" collapsed="false">
      <c r="C501" s="8" t="s">
        <v>176</v>
      </c>
      <c r="D501" s="14" t="n">
        <f aca="false">INDEX(D482:N482,MATCH(D500,D497:N497,0))</f>
        <v>8</v>
      </c>
    </row>
    <row r="502" customFormat="false" ht="15" hidden="false" customHeight="false" outlineLevel="0" collapsed="false">
      <c r="C502" s="8" t="s">
        <v>177</v>
      </c>
      <c r="D502" s="14" t="n">
        <f aca="false">INDEX(D495:N495,MATCH(D500,D497:N497,0))</f>
        <v>0</v>
      </c>
    </row>
    <row r="503" customFormat="false" ht="15" hidden="false" customHeight="false" outlineLevel="0" collapsed="false">
      <c r="C503" s="8" t="s">
        <v>178</v>
      </c>
      <c r="D503" s="14" t="n">
        <f aca="false">INDEX(D496:N496,MATCH(D500,D497:N497,0))</f>
        <v>0</v>
      </c>
    </row>
    <row r="504" customFormat="false" ht="15" hidden="false" customHeight="false" outlineLevel="0" collapsed="false">
      <c r="C504" s="8" t="s">
        <v>179</v>
      </c>
      <c r="D504" s="15" t="n">
        <f aca="false">D500/Proyecto!$C$48</f>
        <v>0</v>
      </c>
    </row>
    <row r="505" customFormat="false" ht="15" hidden="false" customHeight="false" outlineLevel="0" collapsed="false">
      <c r="C505" s="8" t="s">
        <v>180</v>
      </c>
      <c r="D505" s="15" t="n">
        <f aca="false">D500/1000</f>
        <v>0</v>
      </c>
    </row>
    <row r="506" customFormat="false" ht="15" hidden="false" customHeight="false" outlineLevel="0" collapsed="false">
      <c r="C506" s="8" t="s">
        <v>181</v>
      </c>
      <c r="D506" s="14" t="n">
        <f aca="false">(D502/(Proyecto!$C$31*Proyecto!$C$41))/1.699</f>
        <v>0</v>
      </c>
    </row>
    <row r="509" customFormat="false" ht="15" hidden="false" customHeight="false" outlineLevel="0" collapsed="false">
      <c r="C509" s="34" t="str">
        <f aca="false">Captura_Zonas!B13</f>
        <v>Zona 8</v>
      </c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</row>
    <row r="510" customFormat="false" ht="15" hidden="false" customHeight="false" outlineLevel="0" collapsed="false">
      <c r="C510" s="8" t="s">
        <v>61</v>
      </c>
      <c r="D510" s="15" t="n">
        <f aca="false">Captura_Zonas!C13</f>
        <v>0</v>
      </c>
    </row>
    <row r="511" customFormat="false" ht="15" hidden="false" customHeight="false" outlineLevel="0" collapsed="false">
      <c r="C511" s="8" t="s">
        <v>62</v>
      </c>
      <c r="D511" s="15" t="n">
        <f aca="false">MAX(0.1,Captura_Zonas!D13)</f>
        <v>0.1</v>
      </c>
    </row>
    <row r="512" customFormat="false" ht="15" hidden="false" customHeight="false" outlineLevel="0" collapsed="false">
      <c r="C512" s="8" t="s">
        <v>118</v>
      </c>
      <c r="D512" s="13" t="n">
        <f aca="false">D510*D511</f>
        <v>0</v>
      </c>
    </row>
    <row r="513" customFormat="false" ht="15" hidden="false" customHeight="false" outlineLevel="0" collapsed="false">
      <c r="C513" s="8" t="s">
        <v>63</v>
      </c>
      <c r="D513" s="8" t="str">
        <f aca="false">Captura_Zonas!E13</f>
        <v>Oficina</v>
      </c>
    </row>
    <row r="514" customFormat="false" ht="15" hidden="false" customHeight="false" outlineLevel="0" collapsed="false">
      <c r="C514" s="8" t="s">
        <v>119</v>
      </c>
      <c r="D514" s="14" t="n">
        <f aca="false">Captura_Zonas!F13</f>
        <v>16</v>
      </c>
    </row>
    <row r="515" customFormat="false" ht="15" hidden="false" customHeight="false" outlineLevel="0" collapsed="false">
      <c r="C515" s="8" t="s">
        <v>120</v>
      </c>
      <c r="D515" s="13" t="n">
        <f aca="false">INDEX(Referencia!$C$79:$C$88,MATCH(D513,Referencia!$B$79:$B$88,0))</f>
        <v>2.5</v>
      </c>
    </row>
    <row r="516" customFormat="false" ht="15" hidden="false" customHeight="false" outlineLevel="0" collapsed="false">
      <c r="C516" s="8" t="s">
        <v>121</v>
      </c>
      <c r="D516" s="15" t="n">
        <f aca="false">INDEX(Referencia!$D$79:$D$88,MATCH(D513,Referencia!$B$79:$B$88,0))</f>
        <v>0.3</v>
      </c>
    </row>
    <row r="517" customFormat="false" ht="15" hidden="false" customHeight="false" outlineLevel="0" collapsed="false">
      <c r="C517" s="8" t="s">
        <v>122</v>
      </c>
      <c r="D517" s="15" t="n">
        <f aca="false">INDEX(Referencia!$E$79:$E$88,MATCH(D513,Referencia!$B$79:$B$88,0))</f>
        <v>0.9</v>
      </c>
    </row>
    <row r="518" customFormat="false" ht="15" hidden="false" customHeight="false" outlineLevel="0" collapsed="false">
      <c r="C518" s="8" t="s">
        <v>123</v>
      </c>
      <c r="D518" s="15" t="n">
        <f aca="false">INDEX(Referencia!$F$79:$F$88,MATCH(D513,Referencia!$B$79:$B$88,0))</f>
        <v>0.95</v>
      </c>
    </row>
    <row r="519" customFormat="false" ht="15" hidden="false" customHeight="false" outlineLevel="0" collapsed="false">
      <c r="C519" s="8" t="s">
        <v>124</v>
      </c>
      <c r="D519" s="15" t="n">
        <f aca="false">INDEX(Referencia!$G$79:$G$88,MATCH(D513,Referencia!$B$79:$B$88,0))</f>
        <v>0.9</v>
      </c>
    </row>
    <row r="520" customFormat="false" ht="15" hidden="false" customHeight="false" outlineLevel="0" collapsed="false">
      <c r="C520" s="8" t="s">
        <v>125</v>
      </c>
      <c r="D520" s="16" t="n">
        <f aca="false">INDEX(Referencia!$C$15:$C$43,MATCH(Captura_Zonas!G13,Referencia!$B$15:$B$43,0))</f>
        <v>0.849</v>
      </c>
    </row>
    <row r="521" customFormat="false" ht="15" hidden="false" customHeight="false" outlineLevel="0" collapsed="false">
      <c r="C521" s="8" t="s">
        <v>126</v>
      </c>
      <c r="D521" s="14" t="n">
        <f aca="false">INDEX(Referencia!$D$15:$D$43,MATCH(Captura_Zonas!G13,Referencia!$B$15:$B$43,0))</f>
        <v>176</v>
      </c>
    </row>
    <row r="522" customFormat="false" ht="15" hidden="false" customHeight="false" outlineLevel="0" collapsed="false">
      <c r="C522" s="8" t="s">
        <v>127</v>
      </c>
      <c r="D522" s="16" t="n">
        <f aca="false">INDEX(Referencia!$C$47:$C$60,MATCH(Captura_Zonas!Q13,Referencia!$B$47:$B$60,0))</f>
        <v>0.55</v>
      </c>
    </row>
    <row r="523" customFormat="false" ht="15" hidden="false" customHeight="false" outlineLevel="0" collapsed="false">
      <c r="C523" s="8" t="s">
        <v>128</v>
      </c>
      <c r="D523" s="14" t="n">
        <f aca="false">INDEX(Referencia!$D$47:$D$60,MATCH(Captura_Zonas!Q13,Referencia!$B$47:$B$60,0))</f>
        <v>320</v>
      </c>
    </row>
    <row r="524" customFormat="false" ht="15" hidden="false" customHeight="false" outlineLevel="0" collapsed="false">
      <c r="C524" s="8" t="s">
        <v>129</v>
      </c>
      <c r="D524" s="15" t="n">
        <f aca="false">INDEX(Referencia!$C$64:$C$75,MATCH(Captura_Zonas!R13,Referencia!$B$64:$B$75,0))</f>
        <v>2.8</v>
      </c>
    </row>
    <row r="525" customFormat="false" ht="15" hidden="false" customHeight="false" outlineLevel="0" collapsed="false">
      <c r="C525" s="8" t="s">
        <v>130</v>
      </c>
      <c r="D525" s="15" t="n">
        <f aca="false">INDEX(Referencia!$E$64:$E$75,MATCH(Captura_Zonas!R13,Referencia!$B$64:$B$75,0))</f>
        <v>0.7</v>
      </c>
    </row>
    <row r="526" customFormat="false" ht="15" hidden="false" customHeight="false" outlineLevel="0" collapsed="false">
      <c r="C526" s="8" t="s">
        <v>131</v>
      </c>
      <c r="D526" s="13" t="n">
        <f aca="false">IF(D510&gt;0,((Captura_Zonas!H13+Captura_Zonas!I13+Captura_Zonas!J13+Captura_Zonas!K13+Captura_Zonas!L13+Captura_Zonas!M13+Captura_Zonas!N13+Captura_Zonas!O13)*D521+Captura_Zonas!P13*D523+(Captura_Zonas!S13+Captura_Zonas!T13+Captura_Zonas!U13+Captura_Zonas!V13+Captura_Zonas!W13+Captura_Zonas!X13+Captura_Zonas!Y13+Captura_Zonas!Z13)*25)/D510,200)</f>
        <v>200</v>
      </c>
    </row>
    <row r="527" customFormat="false" ht="15" hidden="false" customHeight="false" outlineLevel="0" collapsed="false">
      <c r="C527" s="8" t="s">
        <v>132</v>
      </c>
      <c r="D527" s="8" t="str">
        <f aca="false">IF(D526&lt;150,"Ligera",IF(D526&lt;350,"Media","Pesada"))</f>
        <v>Media</v>
      </c>
    </row>
    <row r="528" customFormat="false" ht="15" hidden="false" customHeight="false" outlineLevel="0" collapsed="false">
      <c r="C528" s="8" t="s">
        <v>133</v>
      </c>
      <c r="D528" s="13" t="n">
        <f aca="false">MAX(0,Captura_Zonas!AG13)</f>
        <v>0</v>
      </c>
    </row>
    <row r="529" customFormat="false" ht="15" hidden="false" customHeight="false" outlineLevel="0" collapsed="false">
      <c r="C529" s="8" t="s">
        <v>134</v>
      </c>
      <c r="D529" s="16" t="n">
        <f aca="false">IF(D528&lt;=0,1,MAX(0.75,1-D528*IF(D527="Pesada",0.04,IF(D527="Media",0.03,0.02))*2.5))</f>
        <v>1</v>
      </c>
    </row>
    <row r="530" customFormat="false" ht="15" hidden="false" customHeight="false" outlineLevel="0" collapsed="false">
      <c r="C530" s="8" t="s">
        <v>135</v>
      </c>
      <c r="D530" s="16" t="n">
        <f aca="false">INDEX(Referencia!$C$92:$E$94,MATCH(D514,Referencia!$B$92:$B$94,0),MATCH(D527,{"Ligera","Media","Pesada"},0))*D529</f>
        <v>0.66</v>
      </c>
    </row>
    <row r="531" customFormat="false" ht="15" hidden="false" customHeight="false" outlineLevel="0" collapsed="false">
      <c r="C531" s="8" t="s">
        <v>136</v>
      </c>
      <c r="D531" s="16" t="n">
        <f aca="false">INDEX(Referencia!$C$98:$E$100,MATCH(D514,Referencia!$B$98:$B$100,0),MATCH(D527,{"Ligera","Media","Pesada"},0))*D529</f>
        <v>0.7</v>
      </c>
    </row>
    <row r="532" customFormat="false" ht="15" hidden="false" customHeight="false" outlineLevel="0" collapsed="false">
      <c r="C532" s="8" t="s">
        <v>137</v>
      </c>
      <c r="D532" s="15" t="n">
        <f aca="false">INDEX(Referencia!$C$104:$C$106,MATCH(D514,Referencia!$B$104:$B$106,0))</f>
        <v>0.9</v>
      </c>
    </row>
    <row r="533" customFormat="false" ht="15" hidden="false" customHeight="false" outlineLevel="0" collapsed="false">
      <c r="C533" s="8" t="s">
        <v>138</v>
      </c>
      <c r="D533" s="15" t="n">
        <f aca="false">INDEX(Referencia!$D$104:$D$106,MATCH(D514,Referencia!$B$104:$B$106,0))</f>
        <v>0.9</v>
      </c>
    </row>
    <row r="534" customFormat="false" ht="15" hidden="false" customHeight="false" outlineLevel="0" collapsed="false">
      <c r="C534" s="8" t="s">
        <v>139</v>
      </c>
      <c r="D534" s="15" t="n">
        <f aca="false">IF(Captura_Zonas!AC13="Fluorescente",1.2,1)</f>
        <v>1</v>
      </c>
    </row>
    <row r="535" customFormat="false" ht="15" hidden="false" customHeight="false" outlineLevel="0" collapsed="false">
      <c r="C535" s="8" t="s">
        <v>140</v>
      </c>
      <c r="D535" s="35" t="b">
        <f aca="false">IF(Captura_Zonas!AF13="Auto",D511&gt;=3.5,Captura_Zonas!AF13="Sí")</f>
        <v>0</v>
      </c>
    </row>
    <row r="536" customFormat="false" ht="15" hidden="false" customHeight="false" outlineLevel="0" collapsed="false">
      <c r="C536" s="8" t="s">
        <v>141</v>
      </c>
      <c r="D536" s="15" t="n">
        <f aca="false">IF(D511&lt;=3.2,1,IF(AND(D535,D511&gt;=4),0.7,IF(D511&gt;=5,0.75,IF(D511&gt;=4,0.85,0.92))))</f>
        <v>1</v>
      </c>
    </row>
    <row r="537" customFormat="false" ht="15" hidden="false" customHeight="false" outlineLevel="0" collapsed="false">
      <c r="C537" s="8" t="s">
        <v>142</v>
      </c>
      <c r="D537" s="14" t="n">
        <f aca="false">MAX(0,ROUND(Captura_Zonas!AA13,0))</f>
        <v>0</v>
      </c>
    </row>
    <row r="538" customFormat="false" ht="15" hidden="false" customHeight="false" outlineLevel="0" collapsed="false">
      <c r="C538" s="8" t="s">
        <v>143</v>
      </c>
      <c r="D538" s="14" t="n">
        <f aca="false">D537*Proyecto!$C$44*D532*D517*Proyecto!$C$38</f>
        <v>0</v>
      </c>
    </row>
    <row r="539" customFormat="false" ht="15" hidden="false" customHeight="false" outlineLevel="0" collapsed="false">
      <c r="C539" s="8" t="s">
        <v>144</v>
      </c>
      <c r="D539" s="14" t="n">
        <f aca="false">D537*Proyecto!$C$45*D517*Proyecto!$C$38</f>
        <v>0</v>
      </c>
    </row>
    <row r="540" customFormat="false" ht="15" hidden="false" customHeight="false" outlineLevel="0" collapsed="false">
      <c r="C540" s="8" t="s">
        <v>145</v>
      </c>
      <c r="D540" s="14" t="n">
        <f aca="false">MAX(0,Captura_Zonas!AB13)*D534*D531*D518*Proyecto!$C$38*D536</f>
        <v>0</v>
      </c>
    </row>
    <row r="541" customFormat="false" ht="15" hidden="false" customHeight="false" outlineLevel="0" collapsed="false">
      <c r="C541" s="8" t="s">
        <v>146</v>
      </c>
      <c r="D541" s="14" t="n">
        <f aca="false">MAX(0,Captura_Zonas!AD13)*D533*D519*Proyecto!$C$38</f>
        <v>0</v>
      </c>
    </row>
    <row r="542" customFormat="false" ht="15" hidden="false" customHeight="false" outlineLevel="0" collapsed="false">
      <c r="C542" s="8" t="s">
        <v>147</v>
      </c>
      <c r="D542" s="14" t="n">
        <f aca="false">D512*MAX(0,Captura_Zonas!AE13)</f>
        <v>0</v>
      </c>
    </row>
    <row r="543" customFormat="false" ht="15" hidden="false" customHeight="false" outlineLevel="0" collapsed="false">
      <c r="C543" s="8" t="s">
        <v>148</v>
      </c>
      <c r="D543" s="14" t="n">
        <f aca="false">(D515*D537+D516*D510)*3.6</f>
        <v>0</v>
      </c>
    </row>
    <row r="544" customFormat="false" ht="15" hidden="false" customHeight="false" outlineLevel="0" collapsed="false">
      <c r="C544" s="8" t="s">
        <v>149</v>
      </c>
      <c r="D544" s="14" t="n">
        <f aca="false">D537*Proyecto!$C$46</f>
        <v>0</v>
      </c>
    </row>
    <row r="545" customFormat="false" ht="15" hidden="false" customHeight="false" outlineLevel="0" collapsed="false">
      <c r="C545" s="8" t="s">
        <v>150</v>
      </c>
      <c r="D545" s="14" t="n">
        <f aca="false">D510*Proyecto!$C$47</f>
        <v>0</v>
      </c>
    </row>
    <row r="546" customFormat="false" ht="15" hidden="false" customHeight="false" outlineLevel="0" collapsed="false">
      <c r="C546" s="8" t="s">
        <v>151</v>
      </c>
      <c r="D546" s="14" t="n">
        <f aca="false">MAX(D543,D544,D545,0)</f>
        <v>0</v>
      </c>
    </row>
    <row r="547" customFormat="false" ht="15" hidden="false" customHeight="false" outlineLevel="0" collapsed="false">
      <c r="C547" s="8" t="s">
        <v>152</v>
      </c>
      <c r="D547" s="14" t="n">
        <f aca="false">D542*Proyecto!$C$32*Referencia!$C$179</f>
        <v>0</v>
      </c>
    </row>
    <row r="548" customFormat="false" ht="15" hidden="false" customHeight="false" outlineLevel="0" collapsed="false">
      <c r="C548" s="8" t="s">
        <v>153</v>
      </c>
      <c r="D548" s="14" t="n">
        <f aca="false">D546*Proyecto!$C$32*Referencia!$C$179</f>
        <v>0</v>
      </c>
    </row>
    <row r="549" customFormat="false" ht="15" hidden="false" customHeight="false" outlineLevel="0" collapsed="false">
      <c r="C549" s="8" t="s">
        <v>154</v>
      </c>
      <c r="D549" s="14" t="n">
        <f aca="false">D539+D547</f>
        <v>0</v>
      </c>
    </row>
    <row r="550" customFormat="false" ht="15" hidden="false" customHeight="false" outlineLevel="0" collapsed="false">
      <c r="C550" s="8" t="s">
        <v>155</v>
      </c>
      <c r="D550" s="14" t="n">
        <f aca="false">D549*Proyecto!$C$39</f>
        <v>0</v>
      </c>
    </row>
    <row r="551" customFormat="false" ht="15" hidden="false" customHeight="false" outlineLevel="0" collapsed="false">
      <c r="C551" s="8" t="s">
        <v>156</v>
      </c>
      <c r="D551" s="14" t="n">
        <f aca="false">D549+D550</f>
        <v>0</v>
      </c>
    </row>
    <row r="552" customFormat="false" ht="15" hidden="false" customHeight="false" outlineLevel="0" collapsed="false">
      <c r="C552" s="8" t="s">
        <v>157</v>
      </c>
      <c r="D552" s="36" t="n">
        <f aca="false">D551+D548</f>
        <v>0</v>
      </c>
    </row>
    <row r="554" customFormat="false" ht="15" hidden="false" customHeight="false" outlineLevel="0" collapsed="false">
      <c r="C554" s="34" t="s">
        <v>158</v>
      </c>
      <c r="D554" s="37" t="n">
        <f aca="false">Referencia!C$132</f>
        <v>8</v>
      </c>
      <c r="E554" s="37" t="n">
        <f aca="false">Referencia!D$132</f>
        <v>9</v>
      </c>
      <c r="F554" s="37" t="n">
        <f aca="false">Referencia!E$132</f>
        <v>10</v>
      </c>
      <c r="G554" s="37" t="n">
        <f aca="false">Referencia!F$132</f>
        <v>11</v>
      </c>
      <c r="H554" s="37" t="n">
        <f aca="false">Referencia!G$132</f>
        <v>12</v>
      </c>
      <c r="I554" s="37" t="n">
        <f aca="false">Referencia!H$132</f>
        <v>13</v>
      </c>
      <c r="J554" s="37" t="n">
        <f aca="false">Referencia!I$132</f>
        <v>14</v>
      </c>
      <c r="K554" s="37" t="n">
        <f aca="false">Referencia!J$132</f>
        <v>15</v>
      </c>
      <c r="L554" s="37" t="n">
        <f aca="false">Referencia!K$132</f>
        <v>16</v>
      </c>
      <c r="M554" s="37" t="n">
        <f aca="false">Referencia!L$132</f>
        <v>17</v>
      </c>
      <c r="N554" s="37" t="n">
        <f aca="false">Referencia!M$132</f>
        <v>18</v>
      </c>
    </row>
    <row r="555" customFormat="false" ht="15" hidden="false" customHeight="false" outlineLevel="0" collapsed="false">
      <c r="C555" s="8" t="s">
        <v>159</v>
      </c>
      <c r="D555" s="14" t="n">
        <f aca="false">D520*SUMPRODUCT(Captura_Zonas!$H$13:$O$13,Referencia!$C$158:$J$158)</f>
        <v>0</v>
      </c>
      <c r="E555" s="14" t="n">
        <f aca="false">D520*SUMPRODUCT(Captura_Zonas!$H$13:$O$13,Referencia!$C$159:$J$159)</f>
        <v>0</v>
      </c>
      <c r="F555" s="14" t="n">
        <f aca="false">D520*SUMPRODUCT(Captura_Zonas!$H$13:$O$13,Referencia!$C$160:$J$160)</f>
        <v>0</v>
      </c>
      <c r="G555" s="14" t="n">
        <f aca="false">D520*SUMPRODUCT(Captura_Zonas!$H$13:$O$13,Referencia!$C$161:$J$161)</f>
        <v>0</v>
      </c>
      <c r="H555" s="14" t="n">
        <f aca="false">D520*SUMPRODUCT(Captura_Zonas!$H$13:$O$13,Referencia!$C$162:$J$162)</f>
        <v>0</v>
      </c>
      <c r="I555" s="14" t="n">
        <f aca="false">D520*SUMPRODUCT(Captura_Zonas!$H$13:$O$13,Referencia!$C$163:$J$163)</f>
        <v>0</v>
      </c>
      <c r="J555" s="14" t="n">
        <f aca="false">D520*SUMPRODUCT(Captura_Zonas!$H$13:$O$13,Referencia!$C$164:$J$164)</f>
        <v>0</v>
      </c>
      <c r="K555" s="14" t="n">
        <f aca="false">D520*SUMPRODUCT(Captura_Zonas!$H$13:$O$13,Referencia!$C$165:$J$165)</f>
        <v>0</v>
      </c>
      <c r="L555" s="14" t="n">
        <f aca="false">D520*SUMPRODUCT(Captura_Zonas!$H$13:$O$13,Referencia!$C$166:$J$166)</f>
        <v>0</v>
      </c>
      <c r="M555" s="14" t="n">
        <f aca="false">D520*SUMPRODUCT(Captura_Zonas!$H$13:$O$13,Referencia!$C$167:$J$167)</f>
        <v>0</v>
      </c>
      <c r="N555" s="14" t="n">
        <f aca="false">D520*SUMPRODUCT(Captura_Zonas!$H$13:$O$13,Referencia!$C$168:$J$168)</f>
        <v>0</v>
      </c>
    </row>
    <row r="556" customFormat="false" ht="15" hidden="false" customHeight="false" outlineLevel="0" collapsed="false">
      <c r="C556" s="8" t="s">
        <v>160</v>
      </c>
      <c r="D556" s="14" t="n">
        <f aca="false">D522*Captura_Zonas!P13*Referencia!C$171</f>
        <v>0</v>
      </c>
      <c r="E556" s="14" t="n">
        <f aca="false">D522*Captura_Zonas!P13*Referencia!D$171</f>
        <v>0</v>
      </c>
      <c r="F556" s="14" t="n">
        <f aca="false">D522*Captura_Zonas!P13*Referencia!E$171</f>
        <v>0</v>
      </c>
      <c r="G556" s="14" t="n">
        <f aca="false">D522*Captura_Zonas!P13*Referencia!F$171</f>
        <v>0</v>
      </c>
      <c r="H556" s="14" t="n">
        <f aca="false">D522*Captura_Zonas!P13*Referencia!G$171</f>
        <v>0</v>
      </c>
      <c r="I556" s="14" t="n">
        <f aca="false">D522*Captura_Zonas!P13*Referencia!H$171</f>
        <v>0</v>
      </c>
      <c r="J556" s="14" t="n">
        <f aca="false">D522*Captura_Zonas!P13*Referencia!I$171</f>
        <v>0</v>
      </c>
      <c r="K556" s="14" t="n">
        <f aca="false">D522*Captura_Zonas!P13*Referencia!J$171</f>
        <v>0</v>
      </c>
      <c r="L556" s="14" t="n">
        <f aca="false">D522*Captura_Zonas!P13*Referencia!K$171</f>
        <v>0</v>
      </c>
      <c r="M556" s="14" t="n">
        <f aca="false">D522*Captura_Zonas!P13*Referencia!L$171</f>
        <v>0</v>
      </c>
      <c r="N556" s="14" t="n">
        <f aca="false">D522*Captura_Zonas!P13*Referencia!M$171</f>
        <v>0</v>
      </c>
    </row>
    <row r="557" customFormat="false" ht="15" hidden="false" customHeight="false" outlineLevel="0" collapsed="false">
      <c r="C557" s="8" t="s">
        <v>161</v>
      </c>
      <c r="D557" s="14" t="n">
        <f aca="false">D524*(Captura_Zonas!S13+Captura_Zonas!T13+Captura_Zonas!U13+Captura_Zonas!V13+Captura_Zonas!W13+Captura_Zonas!X13+Captura_Zonas!Y13+Captura_Zonas!Z13)*Referencia!C$139</f>
        <v>0</v>
      </c>
      <c r="E557" s="14" t="n">
        <f aca="false">D524*(Captura_Zonas!S13+Captura_Zonas!T13+Captura_Zonas!U13+Captura_Zonas!V13+Captura_Zonas!W13+Captura_Zonas!X13+Captura_Zonas!Y13+Captura_Zonas!Z13)*Referencia!D$139</f>
        <v>0</v>
      </c>
      <c r="F557" s="14" t="n">
        <f aca="false">D524*(Captura_Zonas!S13+Captura_Zonas!T13+Captura_Zonas!U13+Captura_Zonas!V13+Captura_Zonas!W13+Captura_Zonas!X13+Captura_Zonas!Y13+Captura_Zonas!Z13)*Referencia!E$139</f>
        <v>0</v>
      </c>
      <c r="G557" s="14" t="n">
        <f aca="false">D524*(Captura_Zonas!S13+Captura_Zonas!T13+Captura_Zonas!U13+Captura_Zonas!V13+Captura_Zonas!W13+Captura_Zonas!X13+Captura_Zonas!Y13+Captura_Zonas!Z13)*Referencia!F$139</f>
        <v>0</v>
      </c>
      <c r="H557" s="14" t="n">
        <f aca="false">D524*(Captura_Zonas!S13+Captura_Zonas!T13+Captura_Zonas!U13+Captura_Zonas!V13+Captura_Zonas!W13+Captura_Zonas!X13+Captura_Zonas!Y13+Captura_Zonas!Z13)*Referencia!G$139</f>
        <v>0</v>
      </c>
      <c r="I557" s="14" t="n">
        <f aca="false">D524*(Captura_Zonas!S13+Captura_Zonas!T13+Captura_Zonas!U13+Captura_Zonas!V13+Captura_Zonas!W13+Captura_Zonas!X13+Captura_Zonas!Y13+Captura_Zonas!Z13)*Referencia!H$139</f>
        <v>0</v>
      </c>
      <c r="J557" s="14" t="n">
        <f aca="false">D524*(Captura_Zonas!S13+Captura_Zonas!T13+Captura_Zonas!U13+Captura_Zonas!V13+Captura_Zonas!W13+Captura_Zonas!X13+Captura_Zonas!Y13+Captura_Zonas!Z13)*Referencia!I$139</f>
        <v>0</v>
      </c>
      <c r="K557" s="14" t="n">
        <f aca="false">D524*(Captura_Zonas!S13+Captura_Zonas!T13+Captura_Zonas!U13+Captura_Zonas!V13+Captura_Zonas!W13+Captura_Zonas!X13+Captura_Zonas!Y13+Captura_Zonas!Z13)*Referencia!J$139</f>
        <v>0</v>
      </c>
      <c r="L557" s="14" t="n">
        <f aca="false">D524*(Captura_Zonas!S13+Captura_Zonas!T13+Captura_Zonas!U13+Captura_Zonas!V13+Captura_Zonas!W13+Captura_Zonas!X13+Captura_Zonas!Y13+Captura_Zonas!Z13)*Referencia!K$139</f>
        <v>0</v>
      </c>
      <c r="M557" s="14" t="n">
        <f aca="false">D524*(Captura_Zonas!S13+Captura_Zonas!T13+Captura_Zonas!U13+Captura_Zonas!V13+Captura_Zonas!W13+Captura_Zonas!X13+Captura_Zonas!Y13+Captura_Zonas!Z13)*Referencia!L$139</f>
        <v>0</v>
      </c>
      <c r="N557" s="14" t="n">
        <f aca="false">D524*(Captura_Zonas!S13+Captura_Zonas!T13+Captura_Zonas!U13+Captura_Zonas!V13+Captura_Zonas!W13+Captura_Zonas!X13+Captura_Zonas!Y13+Captura_Zonas!Z13)*Referencia!M$139</f>
        <v>0</v>
      </c>
    </row>
    <row r="558" customFormat="false" ht="15" hidden="false" customHeight="false" outlineLevel="0" collapsed="false">
      <c r="C558" s="8" t="s">
        <v>162</v>
      </c>
      <c r="D558" s="14" t="n">
        <f aca="false">D525*D530*SUMPRODUCT(Captura_Zonas!$S$13:$Z$13,Referencia!$C$111:$J$111,Referencia!$C$119:$J$119)</f>
        <v>0</v>
      </c>
      <c r="E558" s="14" t="n">
        <f aca="false">D525*D530*SUMPRODUCT(Captura_Zonas!$S$13:$Z$13,Referencia!$C$111:$J$111,Referencia!$C$120:$J$120)</f>
        <v>0</v>
      </c>
      <c r="F558" s="14" t="n">
        <f aca="false">D525*D530*SUMPRODUCT(Captura_Zonas!$S$13:$Z$13,Referencia!$C$111:$J$111,Referencia!$C$121:$J$121)</f>
        <v>0</v>
      </c>
      <c r="G558" s="14" t="n">
        <f aca="false">D525*D530*SUMPRODUCT(Captura_Zonas!$S$13:$Z$13,Referencia!$C$111:$J$111,Referencia!$C$122:$J$122)</f>
        <v>0</v>
      </c>
      <c r="H558" s="14" t="n">
        <f aca="false">D525*D530*SUMPRODUCT(Captura_Zonas!$S$13:$Z$13,Referencia!$C$111:$J$111,Referencia!$C$123:$J$123)</f>
        <v>0</v>
      </c>
      <c r="I558" s="14" t="n">
        <f aca="false">D525*D530*SUMPRODUCT(Captura_Zonas!$S$13:$Z$13,Referencia!$C$111:$J$111,Referencia!$C$124:$J$124)</f>
        <v>0</v>
      </c>
      <c r="J558" s="14" t="n">
        <f aca="false">D525*D530*SUMPRODUCT(Captura_Zonas!$S$13:$Z$13,Referencia!$C$111:$J$111,Referencia!$C$125:$J$125)</f>
        <v>0</v>
      </c>
      <c r="K558" s="14" t="n">
        <f aca="false">D525*D530*SUMPRODUCT(Captura_Zonas!$S$13:$Z$13,Referencia!$C$111:$J$111,Referencia!$C$126:$J$126)</f>
        <v>0</v>
      </c>
      <c r="L558" s="14" t="n">
        <f aca="false">D525*D530*SUMPRODUCT(Captura_Zonas!$S$13:$Z$13,Referencia!$C$111:$J$111,Referencia!$C$127:$J$127)</f>
        <v>0</v>
      </c>
      <c r="M558" s="14" t="n">
        <f aca="false">D525*D530*SUMPRODUCT(Captura_Zonas!$S$13:$Z$13,Referencia!$C$111:$J$111,Referencia!$C$128:$J$128)</f>
        <v>0</v>
      </c>
      <c r="N558" s="14" t="n">
        <f aca="false">D525*D530*SUMPRODUCT(Captura_Zonas!$S$13:$Z$13,Referencia!$C$111:$J$111,Referencia!$C$129:$J$129)</f>
        <v>0</v>
      </c>
    </row>
    <row r="559" customFormat="false" ht="15" hidden="false" customHeight="false" outlineLevel="0" collapsed="false">
      <c r="C559" s="8" t="s">
        <v>163</v>
      </c>
      <c r="D559" s="14" t="n">
        <f aca="false">D510*Proyecto!$C$52*Proyecto!$C$51*MAX(3,Referencia!C$139*0.35)</f>
        <v>0</v>
      </c>
      <c r="E559" s="14" t="n">
        <f aca="false">D510*Proyecto!$C$52*Proyecto!$C$51*MAX(3,Referencia!D$139*0.35)</f>
        <v>0</v>
      </c>
      <c r="F559" s="14" t="n">
        <f aca="false">D510*Proyecto!$C$52*Proyecto!$C$51*MAX(3,Referencia!E$139*0.35)</f>
        <v>0</v>
      </c>
      <c r="G559" s="14" t="n">
        <f aca="false">D510*Proyecto!$C$52*Proyecto!$C$51*MAX(3,Referencia!F$139*0.35)</f>
        <v>0</v>
      </c>
      <c r="H559" s="14" t="n">
        <f aca="false">D510*Proyecto!$C$52*Proyecto!$C$51*MAX(3,Referencia!G$139*0.35)</f>
        <v>0</v>
      </c>
      <c r="I559" s="14" t="n">
        <f aca="false">D510*Proyecto!$C$52*Proyecto!$C$51*MAX(3,Referencia!H$139*0.35)</f>
        <v>0</v>
      </c>
      <c r="J559" s="14" t="n">
        <f aca="false">D510*Proyecto!$C$52*Proyecto!$C$51*MAX(3,Referencia!I$139*0.35)</f>
        <v>0</v>
      </c>
      <c r="K559" s="14" t="n">
        <f aca="false">D510*Proyecto!$C$52*Proyecto!$C$51*MAX(3,Referencia!J$139*0.35)</f>
        <v>0</v>
      </c>
      <c r="L559" s="14" t="n">
        <f aca="false">D510*Proyecto!$C$52*Proyecto!$C$51*MAX(3,Referencia!K$139*0.35)</f>
        <v>0</v>
      </c>
      <c r="M559" s="14" t="n">
        <f aca="false">D510*Proyecto!$C$52*Proyecto!$C$51*MAX(3,Referencia!L$139*0.35)</f>
        <v>0</v>
      </c>
      <c r="N559" s="14" t="n">
        <f aca="false">D510*Proyecto!$C$52*Proyecto!$C$51*MAX(3,Referencia!M$139*0.35)</f>
        <v>0</v>
      </c>
    </row>
    <row r="560" customFormat="false" ht="15" hidden="false" customHeight="false" outlineLevel="0" collapsed="false">
      <c r="C560" s="8" t="s">
        <v>164</v>
      </c>
      <c r="D560" s="14" t="n">
        <f aca="false">IF(Captura_Zonas!P13&lt;=0,D510*Proyecto!$C$54*Proyecto!$C$53*MAX(2,Referencia!C$139*0.25),0)</f>
        <v>0</v>
      </c>
      <c r="E560" s="14" t="n">
        <f aca="false">IF(Captura_Zonas!P13&lt;=0,D510*Proyecto!$C$54*Proyecto!$C$53*MAX(2,Referencia!D$139*0.25),0)</f>
        <v>0</v>
      </c>
      <c r="F560" s="14" t="n">
        <f aca="false">IF(Captura_Zonas!P13&lt;=0,D510*Proyecto!$C$54*Proyecto!$C$53*MAX(2,Referencia!E$139*0.25),0)</f>
        <v>0</v>
      </c>
      <c r="G560" s="14" t="n">
        <f aca="false">IF(Captura_Zonas!P13&lt;=0,D510*Proyecto!$C$54*Proyecto!$C$53*MAX(2,Referencia!F$139*0.25),0)</f>
        <v>0</v>
      </c>
      <c r="H560" s="14" t="n">
        <f aca="false">IF(Captura_Zonas!P13&lt;=0,D510*Proyecto!$C$54*Proyecto!$C$53*MAX(2,Referencia!G$139*0.25),0)</f>
        <v>0</v>
      </c>
      <c r="I560" s="14" t="n">
        <f aca="false">IF(Captura_Zonas!P13&lt;=0,D510*Proyecto!$C$54*Proyecto!$C$53*MAX(2,Referencia!H$139*0.25),0)</f>
        <v>0</v>
      </c>
      <c r="J560" s="14" t="n">
        <f aca="false">IF(Captura_Zonas!P13&lt;=0,D510*Proyecto!$C$54*Proyecto!$C$53*MAX(2,Referencia!I$139*0.25),0)</f>
        <v>0</v>
      </c>
      <c r="K560" s="14" t="n">
        <f aca="false">IF(Captura_Zonas!P13&lt;=0,D510*Proyecto!$C$54*Proyecto!$C$53*MAX(2,Referencia!J$139*0.25),0)</f>
        <v>0</v>
      </c>
      <c r="L560" s="14" t="n">
        <f aca="false">IF(Captura_Zonas!P13&lt;=0,D510*Proyecto!$C$54*Proyecto!$C$53*MAX(2,Referencia!K$139*0.25),0)</f>
        <v>0</v>
      </c>
      <c r="M560" s="14" t="n">
        <f aca="false">IF(Captura_Zonas!P13&lt;=0,D510*Proyecto!$C$54*Proyecto!$C$53*MAX(2,Referencia!L$139*0.25),0)</f>
        <v>0</v>
      </c>
      <c r="N560" s="14" t="n">
        <f aca="false">IF(Captura_Zonas!P13&lt;=0,D510*Proyecto!$C$54*Proyecto!$C$53*MAX(2,Referencia!M$139*0.25),0)</f>
        <v>0</v>
      </c>
    </row>
    <row r="561" customFormat="false" ht="15" hidden="false" customHeight="false" outlineLevel="0" collapsed="false">
      <c r="C561" s="8" t="s">
        <v>165</v>
      </c>
      <c r="D561" s="14" t="n">
        <f aca="false">D542*Proyecto!$C$31*Referencia!C$139</f>
        <v>0</v>
      </c>
      <c r="E561" s="14" t="n">
        <f aca="false">D542*Proyecto!$C$31*Referencia!D$139</f>
        <v>0</v>
      </c>
      <c r="F561" s="14" t="n">
        <f aca="false">D542*Proyecto!$C$31*Referencia!E$139</f>
        <v>0</v>
      </c>
      <c r="G561" s="14" t="n">
        <f aca="false">D542*Proyecto!$C$31*Referencia!F$139</f>
        <v>0</v>
      </c>
      <c r="H561" s="14" t="n">
        <f aca="false">D542*Proyecto!$C$31*Referencia!G$139</f>
        <v>0</v>
      </c>
      <c r="I561" s="14" t="n">
        <f aca="false">D542*Proyecto!$C$31*Referencia!H$139</f>
        <v>0</v>
      </c>
      <c r="J561" s="14" t="n">
        <f aca="false">D542*Proyecto!$C$31*Referencia!I$139</f>
        <v>0</v>
      </c>
      <c r="K561" s="14" t="n">
        <f aca="false">D542*Proyecto!$C$31*Referencia!J$139</f>
        <v>0</v>
      </c>
      <c r="L561" s="14" t="n">
        <f aca="false">D542*Proyecto!$C$31*Referencia!K$139</f>
        <v>0</v>
      </c>
      <c r="M561" s="14" t="n">
        <f aca="false">D542*Proyecto!$C$31*Referencia!L$139</f>
        <v>0</v>
      </c>
      <c r="N561" s="14" t="n">
        <f aca="false">D542*Proyecto!$C$31*Referencia!M$139</f>
        <v>0</v>
      </c>
    </row>
    <row r="562" customFormat="false" ht="15" hidden="false" customHeight="false" outlineLevel="0" collapsed="false">
      <c r="C562" s="8" t="s">
        <v>166</v>
      </c>
      <c r="D562" s="14" t="n">
        <f aca="false">D546*Proyecto!$C$31*Referencia!C$139</f>
        <v>0</v>
      </c>
      <c r="E562" s="14" t="n">
        <f aca="false">D546*Proyecto!$C$31*Referencia!D$139</f>
        <v>0</v>
      </c>
      <c r="F562" s="14" t="n">
        <f aca="false">D546*Proyecto!$C$31*Referencia!E$139</f>
        <v>0</v>
      </c>
      <c r="G562" s="14" t="n">
        <f aca="false">D546*Proyecto!$C$31*Referencia!F$139</f>
        <v>0</v>
      </c>
      <c r="H562" s="14" t="n">
        <f aca="false">D546*Proyecto!$C$31*Referencia!G$139</f>
        <v>0</v>
      </c>
      <c r="I562" s="14" t="n">
        <f aca="false">D546*Proyecto!$C$31*Referencia!H$139</f>
        <v>0</v>
      </c>
      <c r="J562" s="14" t="n">
        <f aca="false">D546*Proyecto!$C$31*Referencia!I$139</f>
        <v>0</v>
      </c>
      <c r="K562" s="14" t="n">
        <f aca="false">D546*Proyecto!$C$31*Referencia!J$139</f>
        <v>0</v>
      </c>
      <c r="L562" s="14" t="n">
        <f aca="false">D546*Proyecto!$C$31*Referencia!K$139</f>
        <v>0</v>
      </c>
      <c r="M562" s="14" t="n">
        <f aca="false">D546*Proyecto!$C$31*Referencia!L$139</f>
        <v>0</v>
      </c>
      <c r="N562" s="14" t="n">
        <f aca="false">D546*Proyecto!$C$31*Referencia!M$139</f>
        <v>0</v>
      </c>
    </row>
    <row r="563" customFormat="false" ht="15" hidden="false" customHeight="false" outlineLevel="0" collapsed="false">
      <c r="C563" s="8" t="s">
        <v>167</v>
      </c>
      <c r="D563" s="14" t="n">
        <f aca="false">D555+D556+D557+D558+D559+D560+$D$538+$D$540+$D$541+D561</f>
        <v>0</v>
      </c>
      <c r="E563" s="14" t="n">
        <f aca="false">E555+E556+E557+E558+E559+E560+$D$538+$D$540+$D$541+E561</f>
        <v>0</v>
      </c>
      <c r="F563" s="14" t="n">
        <f aca="false">F555+F556+F557+F558+F559+F560+$D$538+$D$540+$D$541+F561</f>
        <v>0</v>
      </c>
      <c r="G563" s="14" t="n">
        <f aca="false">G555+G556+G557+G558+G559+G560+$D$538+$D$540+$D$541+G561</f>
        <v>0</v>
      </c>
      <c r="H563" s="14" t="n">
        <f aca="false">H555+H556+H557+H558+H559+H560+$D$538+$D$540+$D$541+H561</f>
        <v>0</v>
      </c>
      <c r="I563" s="14" t="n">
        <f aca="false">I555+I556+I557+I558+I559+I560+$D$538+$D$540+$D$541+I561</f>
        <v>0</v>
      </c>
      <c r="J563" s="14" t="n">
        <f aca="false">J555+J556+J557+J558+J559+J560+$D$538+$D$540+$D$541+J561</f>
        <v>0</v>
      </c>
      <c r="K563" s="14" t="n">
        <f aca="false">K555+K556+K557+K558+K559+K560+$D$538+$D$540+$D$541+K561</f>
        <v>0</v>
      </c>
      <c r="L563" s="14" t="n">
        <f aca="false">L555+L556+L557+L558+L559+L560+$D$538+$D$540+$D$541+L561</f>
        <v>0</v>
      </c>
      <c r="M563" s="14" t="n">
        <f aca="false">M555+M556+M557+M558+M559+M560+$D$538+$D$540+$D$541+M561</f>
        <v>0</v>
      </c>
      <c r="N563" s="14" t="n">
        <f aca="false">N555+N556+N557+N558+N559+N560+$D$538+$D$540+$D$541+N561</f>
        <v>0</v>
      </c>
    </row>
    <row r="564" customFormat="false" ht="15" hidden="false" customHeight="false" outlineLevel="0" collapsed="false">
      <c r="C564" s="8" t="s">
        <v>168</v>
      </c>
      <c r="D564" s="14" t="n">
        <f aca="false">D563*Proyecto!$C$42</f>
        <v>0</v>
      </c>
      <c r="E564" s="14" t="n">
        <f aca="false">E563*Proyecto!$C$42</f>
        <v>0</v>
      </c>
      <c r="F564" s="14" t="n">
        <f aca="false">F563*Proyecto!$C$42</f>
        <v>0</v>
      </c>
      <c r="G564" s="14" t="n">
        <f aca="false">G563*Proyecto!$C$42</f>
        <v>0</v>
      </c>
      <c r="H564" s="14" t="n">
        <f aca="false">H563*Proyecto!$C$42</f>
        <v>0</v>
      </c>
      <c r="I564" s="14" t="n">
        <f aca="false">I563*Proyecto!$C$42</f>
        <v>0</v>
      </c>
      <c r="J564" s="14" t="n">
        <f aca="false">J563*Proyecto!$C$42</f>
        <v>0</v>
      </c>
      <c r="K564" s="14" t="n">
        <f aca="false">K563*Proyecto!$C$42</f>
        <v>0</v>
      </c>
      <c r="L564" s="14" t="n">
        <f aca="false">L563*Proyecto!$C$42</f>
        <v>0</v>
      </c>
      <c r="M564" s="14" t="n">
        <f aca="false">M563*Proyecto!$C$42</f>
        <v>0</v>
      </c>
      <c r="N564" s="14" t="n">
        <f aca="false">N563*Proyecto!$C$42</f>
        <v>0</v>
      </c>
    </row>
    <row r="565" customFormat="false" ht="15" hidden="false" customHeight="false" outlineLevel="0" collapsed="false">
      <c r="C565" s="8" t="s">
        <v>169</v>
      </c>
      <c r="D565" s="14" t="n">
        <f aca="false">D563*Proyecto!$C$43</f>
        <v>0</v>
      </c>
      <c r="E565" s="14" t="n">
        <f aca="false">E563*Proyecto!$C$43</f>
        <v>0</v>
      </c>
      <c r="F565" s="14" t="n">
        <f aca="false">F563*Proyecto!$C$43</f>
        <v>0</v>
      </c>
      <c r="G565" s="14" t="n">
        <f aca="false">G563*Proyecto!$C$43</f>
        <v>0</v>
      </c>
      <c r="H565" s="14" t="n">
        <f aca="false">H563*Proyecto!$C$43</f>
        <v>0</v>
      </c>
      <c r="I565" s="14" t="n">
        <f aca="false">I563*Proyecto!$C$43</f>
        <v>0</v>
      </c>
      <c r="J565" s="14" t="n">
        <f aca="false">J563*Proyecto!$C$43</f>
        <v>0</v>
      </c>
      <c r="K565" s="14" t="n">
        <f aca="false">K563*Proyecto!$C$43</f>
        <v>0</v>
      </c>
      <c r="L565" s="14" t="n">
        <f aca="false">L563*Proyecto!$C$43</f>
        <v>0</v>
      </c>
      <c r="M565" s="14" t="n">
        <f aca="false">M563*Proyecto!$C$43</f>
        <v>0</v>
      </c>
      <c r="N565" s="14" t="n">
        <f aca="false">N563*Proyecto!$C$43</f>
        <v>0</v>
      </c>
    </row>
    <row r="566" customFormat="false" ht="15" hidden="false" customHeight="false" outlineLevel="0" collapsed="false">
      <c r="C566" s="8" t="s">
        <v>170</v>
      </c>
      <c r="D566" s="14" t="n">
        <f aca="false">(D563+D564+D565)*Proyecto!$C$39</f>
        <v>0</v>
      </c>
      <c r="E566" s="14" t="n">
        <f aca="false">(E563+E564+E565)*Proyecto!$C$39</f>
        <v>0</v>
      </c>
      <c r="F566" s="14" t="n">
        <f aca="false">(F563+F564+F565)*Proyecto!$C$39</f>
        <v>0</v>
      </c>
      <c r="G566" s="14" t="n">
        <f aca="false">(G563+G564+G565)*Proyecto!$C$39</f>
        <v>0</v>
      </c>
      <c r="H566" s="14" t="n">
        <f aca="false">(H563+H564+H565)*Proyecto!$C$39</f>
        <v>0</v>
      </c>
      <c r="I566" s="14" t="n">
        <f aca="false">(I563+I564+I565)*Proyecto!$C$39</f>
        <v>0</v>
      </c>
      <c r="J566" s="14" t="n">
        <f aca="false">(J563+J564+J565)*Proyecto!$C$39</f>
        <v>0</v>
      </c>
      <c r="K566" s="14" t="n">
        <f aca="false">(K563+K564+K565)*Proyecto!$C$39</f>
        <v>0</v>
      </c>
      <c r="L566" s="14" t="n">
        <f aca="false">(L563+L564+L565)*Proyecto!$C$39</f>
        <v>0</v>
      </c>
      <c r="M566" s="14" t="n">
        <f aca="false">(M563+M564+M565)*Proyecto!$C$39</f>
        <v>0</v>
      </c>
      <c r="N566" s="14" t="n">
        <f aca="false">(N563+N564+N565)*Proyecto!$C$39</f>
        <v>0</v>
      </c>
    </row>
    <row r="567" customFormat="false" ht="15" hidden="false" customHeight="false" outlineLevel="0" collapsed="false">
      <c r="C567" s="8" t="s">
        <v>171</v>
      </c>
      <c r="D567" s="14" t="n">
        <f aca="false">D563+D564+D565+D566</f>
        <v>0</v>
      </c>
      <c r="E567" s="14" t="n">
        <f aca="false">E563+E564+E565+E566</f>
        <v>0</v>
      </c>
      <c r="F567" s="14" t="n">
        <f aca="false">F563+F564+F565+F566</f>
        <v>0</v>
      </c>
      <c r="G567" s="14" t="n">
        <f aca="false">G563+G564+G565+G566</f>
        <v>0</v>
      </c>
      <c r="H567" s="14" t="n">
        <f aca="false">H563+H564+H565+H566</f>
        <v>0</v>
      </c>
      <c r="I567" s="14" t="n">
        <f aca="false">I563+I564+I565+I566</f>
        <v>0</v>
      </c>
      <c r="J567" s="14" t="n">
        <f aca="false">J563+J564+J565+J566</f>
        <v>0</v>
      </c>
      <c r="K567" s="14" t="n">
        <f aca="false">K563+K564+K565+K566</f>
        <v>0</v>
      </c>
      <c r="L567" s="14" t="n">
        <f aca="false">L563+L564+L565+L566</f>
        <v>0</v>
      </c>
      <c r="M567" s="14" t="n">
        <f aca="false">M563+M564+M565+M566</f>
        <v>0</v>
      </c>
      <c r="N567" s="14" t="n">
        <f aca="false">N563+N564+N565+N566</f>
        <v>0</v>
      </c>
    </row>
    <row r="568" customFormat="false" ht="15" hidden="false" customHeight="false" outlineLevel="0" collapsed="false">
      <c r="C568" s="8" t="s">
        <v>172</v>
      </c>
      <c r="D568" s="14" t="n">
        <f aca="false">D567+D562</f>
        <v>0</v>
      </c>
      <c r="E568" s="14" t="n">
        <f aca="false">E567+E562</f>
        <v>0</v>
      </c>
      <c r="F568" s="14" t="n">
        <f aca="false">F567+F562</f>
        <v>0</v>
      </c>
      <c r="G568" s="14" t="n">
        <f aca="false">G567+G562</f>
        <v>0</v>
      </c>
      <c r="H568" s="14" t="n">
        <f aca="false">H567+H562</f>
        <v>0</v>
      </c>
      <c r="I568" s="14" t="n">
        <f aca="false">I567+I562</f>
        <v>0</v>
      </c>
      <c r="J568" s="14" t="n">
        <f aca="false">J567+J562</f>
        <v>0</v>
      </c>
      <c r="K568" s="14" t="n">
        <f aca="false">K567+K562</f>
        <v>0</v>
      </c>
      <c r="L568" s="14" t="n">
        <f aca="false">L567+L562</f>
        <v>0</v>
      </c>
      <c r="M568" s="14" t="n">
        <f aca="false">M567+M562</f>
        <v>0</v>
      </c>
      <c r="N568" s="14" t="n">
        <f aca="false">N567+N562</f>
        <v>0</v>
      </c>
    </row>
    <row r="569" customFormat="false" ht="15" hidden="false" customHeight="false" outlineLevel="0" collapsed="false">
      <c r="C569" s="38" t="s">
        <v>173</v>
      </c>
      <c r="D569" s="36" t="n">
        <f aca="false">D568+$D$552</f>
        <v>0</v>
      </c>
      <c r="E569" s="36" t="n">
        <f aca="false">E568+$D$552</f>
        <v>0</v>
      </c>
      <c r="F569" s="36" t="n">
        <f aca="false">F568+$D$552</f>
        <v>0</v>
      </c>
      <c r="G569" s="36" t="n">
        <f aca="false">G568+$D$552</f>
        <v>0</v>
      </c>
      <c r="H569" s="36" t="n">
        <f aca="false">H568+$D$552</f>
        <v>0</v>
      </c>
      <c r="I569" s="36" t="n">
        <f aca="false">I568+$D$552</f>
        <v>0</v>
      </c>
      <c r="J569" s="36" t="n">
        <f aca="false">J568+$D$552</f>
        <v>0</v>
      </c>
      <c r="K569" s="36" t="n">
        <f aca="false">K568+$D$552</f>
        <v>0</v>
      </c>
      <c r="L569" s="36" t="n">
        <f aca="false">L568+$D$552</f>
        <v>0</v>
      </c>
      <c r="M569" s="36" t="n">
        <f aca="false">M568+$D$552</f>
        <v>0</v>
      </c>
      <c r="N569" s="36" t="n">
        <f aca="false">N568+$D$552</f>
        <v>0</v>
      </c>
    </row>
    <row r="570" customFormat="false" ht="15" hidden="false" customHeight="false" outlineLevel="0" collapsed="false">
      <c r="C570" s="8" t="s">
        <v>174</v>
      </c>
      <c r="D570" s="15" t="n">
        <f aca="false">D569/Proyecto!$C$48</f>
        <v>0</v>
      </c>
      <c r="E570" s="15" t="n">
        <f aca="false">E569/Proyecto!$C$48</f>
        <v>0</v>
      </c>
      <c r="F570" s="15" t="n">
        <f aca="false">F569/Proyecto!$C$48</f>
        <v>0</v>
      </c>
      <c r="G570" s="15" t="n">
        <f aca="false">G569/Proyecto!$C$48</f>
        <v>0</v>
      </c>
      <c r="H570" s="15" t="n">
        <f aca="false">H569/Proyecto!$C$48</f>
        <v>0</v>
      </c>
      <c r="I570" s="15" t="n">
        <f aca="false">I569/Proyecto!$C$48</f>
        <v>0</v>
      </c>
      <c r="J570" s="15" t="n">
        <f aca="false">J569/Proyecto!$C$48</f>
        <v>0</v>
      </c>
      <c r="K570" s="15" t="n">
        <f aca="false">K569/Proyecto!$C$48</f>
        <v>0</v>
      </c>
      <c r="L570" s="15" t="n">
        <f aca="false">L569/Proyecto!$C$48</f>
        <v>0</v>
      </c>
      <c r="M570" s="15" t="n">
        <f aca="false">M569/Proyecto!$C$48</f>
        <v>0</v>
      </c>
      <c r="N570" s="15" t="n">
        <f aca="false">N569/Proyecto!$C$48</f>
        <v>0</v>
      </c>
    </row>
    <row r="572" customFormat="false" ht="15" hidden="false" customHeight="false" outlineLevel="0" collapsed="false">
      <c r="C572" s="8" t="s">
        <v>175</v>
      </c>
      <c r="D572" s="36" t="n">
        <f aca="false">MAX(D569:N569)</f>
        <v>0</v>
      </c>
    </row>
    <row r="573" customFormat="false" ht="15" hidden="false" customHeight="false" outlineLevel="0" collapsed="false">
      <c r="C573" s="8" t="s">
        <v>176</v>
      </c>
      <c r="D573" s="14" t="n">
        <f aca="false">INDEX(D554:N554,MATCH(D572,D569:N569,0))</f>
        <v>8</v>
      </c>
    </row>
    <row r="574" customFormat="false" ht="15" hidden="false" customHeight="false" outlineLevel="0" collapsed="false">
      <c r="C574" s="8" t="s">
        <v>177</v>
      </c>
      <c r="D574" s="14" t="n">
        <f aca="false">INDEX(D567:N567,MATCH(D572,D569:N569,0))</f>
        <v>0</v>
      </c>
    </row>
    <row r="575" customFormat="false" ht="15" hidden="false" customHeight="false" outlineLevel="0" collapsed="false">
      <c r="C575" s="8" t="s">
        <v>178</v>
      </c>
      <c r="D575" s="14" t="n">
        <f aca="false">INDEX(D568:N568,MATCH(D572,D569:N569,0))</f>
        <v>0</v>
      </c>
    </row>
    <row r="576" customFormat="false" ht="15" hidden="false" customHeight="false" outlineLevel="0" collapsed="false">
      <c r="C576" s="8" t="s">
        <v>179</v>
      </c>
      <c r="D576" s="15" t="n">
        <f aca="false">D572/Proyecto!$C$48</f>
        <v>0</v>
      </c>
    </row>
    <row r="577" customFormat="false" ht="15" hidden="false" customHeight="false" outlineLevel="0" collapsed="false">
      <c r="C577" s="8" t="s">
        <v>180</v>
      </c>
      <c r="D577" s="15" t="n">
        <f aca="false">D572/1000</f>
        <v>0</v>
      </c>
    </row>
    <row r="578" customFormat="false" ht="15" hidden="false" customHeight="false" outlineLevel="0" collapsed="false">
      <c r="C578" s="8" t="s">
        <v>181</v>
      </c>
      <c r="D578" s="14" t="n">
        <f aca="false">(D574/(Proyecto!$C$31*Proyecto!$C$41))/1.699</f>
        <v>0</v>
      </c>
    </row>
    <row r="581" customFormat="false" ht="15" hidden="false" customHeight="false" outlineLevel="0" collapsed="false">
      <c r="C581" s="34" t="str">
        <f aca="false">Captura_Zonas!B14</f>
        <v>Zona 9</v>
      </c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</row>
    <row r="582" customFormat="false" ht="15" hidden="false" customHeight="false" outlineLevel="0" collapsed="false">
      <c r="C582" s="8" t="s">
        <v>61</v>
      </c>
      <c r="D582" s="15" t="n">
        <f aca="false">Captura_Zonas!C14</f>
        <v>0</v>
      </c>
    </row>
    <row r="583" customFormat="false" ht="15" hidden="false" customHeight="false" outlineLevel="0" collapsed="false">
      <c r="C583" s="8" t="s">
        <v>62</v>
      </c>
      <c r="D583" s="15" t="n">
        <f aca="false">MAX(0.1,Captura_Zonas!D14)</f>
        <v>0.1</v>
      </c>
    </row>
    <row r="584" customFormat="false" ht="15" hidden="false" customHeight="false" outlineLevel="0" collapsed="false">
      <c r="C584" s="8" t="s">
        <v>118</v>
      </c>
      <c r="D584" s="13" t="n">
        <f aca="false">D582*D583</f>
        <v>0</v>
      </c>
    </row>
    <row r="585" customFormat="false" ht="15" hidden="false" customHeight="false" outlineLevel="0" collapsed="false">
      <c r="C585" s="8" t="s">
        <v>63</v>
      </c>
      <c r="D585" s="8" t="str">
        <f aca="false">Captura_Zonas!E14</f>
        <v>Oficina</v>
      </c>
    </row>
    <row r="586" customFormat="false" ht="15" hidden="false" customHeight="false" outlineLevel="0" collapsed="false">
      <c r="C586" s="8" t="s">
        <v>119</v>
      </c>
      <c r="D586" s="14" t="n">
        <f aca="false">Captura_Zonas!F14</f>
        <v>16</v>
      </c>
    </row>
    <row r="587" customFormat="false" ht="15" hidden="false" customHeight="false" outlineLevel="0" collapsed="false">
      <c r="C587" s="8" t="s">
        <v>120</v>
      </c>
      <c r="D587" s="13" t="n">
        <f aca="false">INDEX(Referencia!$C$79:$C$88,MATCH(D585,Referencia!$B$79:$B$88,0))</f>
        <v>2.5</v>
      </c>
    </row>
    <row r="588" customFormat="false" ht="15" hidden="false" customHeight="false" outlineLevel="0" collapsed="false">
      <c r="C588" s="8" t="s">
        <v>121</v>
      </c>
      <c r="D588" s="15" t="n">
        <f aca="false">INDEX(Referencia!$D$79:$D$88,MATCH(D585,Referencia!$B$79:$B$88,0))</f>
        <v>0.3</v>
      </c>
    </row>
    <row r="589" customFormat="false" ht="15" hidden="false" customHeight="false" outlineLevel="0" collapsed="false">
      <c r="C589" s="8" t="s">
        <v>122</v>
      </c>
      <c r="D589" s="15" t="n">
        <f aca="false">INDEX(Referencia!$E$79:$E$88,MATCH(D585,Referencia!$B$79:$B$88,0))</f>
        <v>0.9</v>
      </c>
    </row>
    <row r="590" customFormat="false" ht="15" hidden="false" customHeight="false" outlineLevel="0" collapsed="false">
      <c r="C590" s="8" t="s">
        <v>123</v>
      </c>
      <c r="D590" s="15" t="n">
        <f aca="false">INDEX(Referencia!$F$79:$F$88,MATCH(D585,Referencia!$B$79:$B$88,0))</f>
        <v>0.95</v>
      </c>
    </row>
    <row r="591" customFormat="false" ht="15" hidden="false" customHeight="false" outlineLevel="0" collapsed="false">
      <c r="C591" s="8" t="s">
        <v>124</v>
      </c>
      <c r="D591" s="15" t="n">
        <f aca="false">INDEX(Referencia!$G$79:$G$88,MATCH(D585,Referencia!$B$79:$B$88,0))</f>
        <v>0.9</v>
      </c>
    </row>
    <row r="592" customFormat="false" ht="15" hidden="false" customHeight="false" outlineLevel="0" collapsed="false">
      <c r="C592" s="8" t="s">
        <v>125</v>
      </c>
      <c r="D592" s="16" t="n">
        <f aca="false">INDEX(Referencia!$C$15:$C$43,MATCH(Captura_Zonas!G14,Referencia!$B$15:$B$43,0))</f>
        <v>0.849</v>
      </c>
    </row>
    <row r="593" customFormat="false" ht="15" hidden="false" customHeight="false" outlineLevel="0" collapsed="false">
      <c r="C593" s="8" t="s">
        <v>126</v>
      </c>
      <c r="D593" s="14" t="n">
        <f aca="false">INDEX(Referencia!$D$15:$D$43,MATCH(Captura_Zonas!G14,Referencia!$B$15:$B$43,0))</f>
        <v>176</v>
      </c>
    </row>
    <row r="594" customFormat="false" ht="15" hidden="false" customHeight="false" outlineLevel="0" collapsed="false">
      <c r="C594" s="8" t="s">
        <v>127</v>
      </c>
      <c r="D594" s="16" t="n">
        <f aca="false">INDEX(Referencia!$C$47:$C$60,MATCH(Captura_Zonas!Q14,Referencia!$B$47:$B$60,0))</f>
        <v>0.55</v>
      </c>
    </row>
    <row r="595" customFormat="false" ht="15" hidden="false" customHeight="false" outlineLevel="0" collapsed="false">
      <c r="C595" s="8" t="s">
        <v>128</v>
      </c>
      <c r="D595" s="14" t="n">
        <f aca="false">INDEX(Referencia!$D$47:$D$60,MATCH(Captura_Zonas!Q14,Referencia!$B$47:$B$60,0))</f>
        <v>320</v>
      </c>
    </row>
    <row r="596" customFormat="false" ht="15" hidden="false" customHeight="false" outlineLevel="0" collapsed="false">
      <c r="C596" s="8" t="s">
        <v>129</v>
      </c>
      <c r="D596" s="15" t="n">
        <f aca="false">INDEX(Referencia!$C$64:$C$75,MATCH(Captura_Zonas!R14,Referencia!$B$64:$B$75,0))</f>
        <v>2.8</v>
      </c>
    </row>
    <row r="597" customFormat="false" ht="15" hidden="false" customHeight="false" outlineLevel="0" collapsed="false">
      <c r="C597" s="8" t="s">
        <v>130</v>
      </c>
      <c r="D597" s="15" t="n">
        <f aca="false">INDEX(Referencia!$E$64:$E$75,MATCH(Captura_Zonas!R14,Referencia!$B$64:$B$75,0))</f>
        <v>0.7</v>
      </c>
    </row>
    <row r="598" customFormat="false" ht="15" hidden="false" customHeight="false" outlineLevel="0" collapsed="false">
      <c r="C598" s="8" t="s">
        <v>131</v>
      </c>
      <c r="D598" s="13" t="n">
        <f aca="false">IF(D582&gt;0,((Captura_Zonas!H14+Captura_Zonas!I14+Captura_Zonas!J14+Captura_Zonas!K14+Captura_Zonas!L14+Captura_Zonas!M14+Captura_Zonas!N14+Captura_Zonas!O14)*D593+Captura_Zonas!P14*D595+(Captura_Zonas!S14+Captura_Zonas!T14+Captura_Zonas!U14+Captura_Zonas!V14+Captura_Zonas!W14+Captura_Zonas!X14+Captura_Zonas!Y14+Captura_Zonas!Z14)*25)/D582,200)</f>
        <v>200</v>
      </c>
    </row>
    <row r="599" customFormat="false" ht="15" hidden="false" customHeight="false" outlineLevel="0" collapsed="false">
      <c r="C599" s="8" t="s">
        <v>132</v>
      </c>
      <c r="D599" s="8" t="str">
        <f aca="false">IF(D598&lt;150,"Ligera",IF(D598&lt;350,"Media","Pesada"))</f>
        <v>Media</v>
      </c>
    </row>
    <row r="600" customFormat="false" ht="15" hidden="false" customHeight="false" outlineLevel="0" collapsed="false">
      <c r="C600" s="8" t="s">
        <v>133</v>
      </c>
      <c r="D600" s="13" t="n">
        <f aca="false">MAX(0,Captura_Zonas!AG14)</f>
        <v>0</v>
      </c>
    </row>
    <row r="601" customFormat="false" ht="15" hidden="false" customHeight="false" outlineLevel="0" collapsed="false">
      <c r="C601" s="8" t="s">
        <v>134</v>
      </c>
      <c r="D601" s="16" t="n">
        <f aca="false">IF(D600&lt;=0,1,MAX(0.75,1-D600*IF(D599="Pesada",0.04,IF(D599="Media",0.03,0.02))*2.5))</f>
        <v>1</v>
      </c>
    </row>
    <row r="602" customFormat="false" ht="15" hidden="false" customHeight="false" outlineLevel="0" collapsed="false">
      <c r="C602" s="8" t="s">
        <v>135</v>
      </c>
      <c r="D602" s="16" t="n">
        <f aca="false">INDEX(Referencia!$C$92:$E$94,MATCH(D586,Referencia!$B$92:$B$94,0),MATCH(D599,{"Ligera","Media","Pesada"},0))*D601</f>
        <v>0.66</v>
      </c>
    </row>
    <row r="603" customFormat="false" ht="15" hidden="false" customHeight="false" outlineLevel="0" collapsed="false">
      <c r="C603" s="8" t="s">
        <v>136</v>
      </c>
      <c r="D603" s="16" t="n">
        <f aca="false">INDEX(Referencia!$C$98:$E$100,MATCH(D586,Referencia!$B$98:$B$100,0),MATCH(D599,{"Ligera","Media","Pesada"},0))*D601</f>
        <v>0.7</v>
      </c>
    </row>
    <row r="604" customFormat="false" ht="15" hidden="false" customHeight="false" outlineLevel="0" collapsed="false">
      <c r="C604" s="8" t="s">
        <v>137</v>
      </c>
      <c r="D604" s="15" t="n">
        <f aca="false">INDEX(Referencia!$C$104:$C$106,MATCH(D586,Referencia!$B$104:$B$106,0))</f>
        <v>0.9</v>
      </c>
    </row>
    <row r="605" customFormat="false" ht="15" hidden="false" customHeight="false" outlineLevel="0" collapsed="false">
      <c r="C605" s="8" t="s">
        <v>138</v>
      </c>
      <c r="D605" s="15" t="n">
        <f aca="false">INDEX(Referencia!$D$104:$D$106,MATCH(D586,Referencia!$B$104:$B$106,0))</f>
        <v>0.9</v>
      </c>
    </row>
    <row r="606" customFormat="false" ht="15" hidden="false" customHeight="false" outlineLevel="0" collapsed="false">
      <c r="C606" s="8" t="s">
        <v>139</v>
      </c>
      <c r="D606" s="15" t="n">
        <f aca="false">IF(Captura_Zonas!AC14="Fluorescente",1.2,1)</f>
        <v>1</v>
      </c>
    </row>
    <row r="607" customFormat="false" ht="15" hidden="false" customHeight="false" outlineLevel="0" collapsed="false">
      <c r="C607" s="8" t="s">
        <v>140</v>
      </c>
      <c r="D607" s="35" t="b">
        <f aca="false">IF(Captura_Zonas!AF14="Auto",D583&gt;=3.5,Captura_Zonas!AF14="Sí")</f>
        <v>0</v>
      </c>
    </row>
    <row r="608" customFormat="false" ht="15" hidden="false" customHeight="false" outlineLevel="0" collapsed="false">
      <c r="C608" s="8" t="s">
        <v>141</v>
      </c>
      <c r="D608" s="15" t="n">
        <f aca="false">IF(D583&lt;=3.2,1,IF(AND(D607,D583&gt;=4),0.7,IF(D583&gt;=5,0.75,IF(D583&gt;=4,0.85,0.92))))</f>
        <v>1</v>
      </c>
    </row>
    <row r="609" customFormat="false" ht="15" hidden="false" customHeight="false" outlineLevel="0" collapsed="false">
      <c r="C609" s="8" t="s">
        <v>142</v>
      </c>
      <c r="D609" s="14" t="n">
        <f aca="false">MAX(0,ROUND(Captura_Zonas!AA14,0))</f>
        <v>0</v>
      </c>
    </row>
    <row r="610" customFormat="false" ht="15" hidden="false" customHeight="false" outlineLevel="0" collapsed="false">
      <c r="C610" s="8" t="s">
        <v>143</v>
      </c>
      <c r="D610" s="14" t="n">
        <f aca="false">D609*Proyecto!$C$44*D604*D589*Proyecto!$C$38</f>
        <v>0</v>
      </c>
    </row>
    <row r="611" customFormat="false" ht="15" hidden="false" customHeight="false" outlineLevel="0" collapsed="false">
      <c r="C611" s="8" t="s">
        <v>144</v>
      </c>
      <c r="D611" s="14" t="n">
        <f aca="false">D609*Proyecto!$C$45*D589*Proyecto!$C$38</f>
        <v>0</v>
      </c>
    </row>
    <row r="612" customFormat="false" ht="15" hidden="false" customHeight="false" outlineLevel="0" collapsed="false">
      <c r="C612" s="8" t="s">
        <v>145</v>
      </c>
      <c r="D612" s="14" t="n">
        <f aca="false">MAX(0,Captura_Zonas!AB14)*D606*D603*D590*Proyecto!$C$38*D608</f>
        <v>0</v>
      </c>
    </row>
    <row r="613" customFormat="false" ht="15" hidden="false" customHeight="false" outlineLevel="0" collapsed="false">
      <c r="C613" s="8" t="s">
        <v>146</v>
      </c>
      <c r="D613" s="14" t="n">
        <f aca="false">MAX(0,Captura_Zonas!AD14)*D605*D591*Proyecto!$C$38</f>
        <v>0</v>
      </c>
    </row>
    <row r="614" customFormat="false" ht="15" hidden="false" customHeight="false" outlineLevel="0" collapsed="false">
      <c r="C614" s="8" t="s">
        <v>147</v>
      </c>
      <c r="D614" s="14" t="n">
        <f aca="false">D584*MAX(0,Captura_Zonas!AE14)</f>
        <v>0</v>
      </c>
    </row>
    <row r="615" customFormat="false" ht="15" hidden="false" customHeight="false" outlineLevel="0" collapsed="false">
      <c r="C615" s="8" t="s">
        <v>148</v>
      </c>
      <c r="D615" s="14" t="n">
        <f aca="false">(D587*D609+D588*D582)*3.6</f>
        <v>0</v>
      </c>
    </row>
    <row r="616" customFormat="false" ht="15" hidden="false" customHeight="false" outlineLevel="0" collapsed="false">
      <c r="C616" s="8" t="s">
        <v>149</v>
      </c>
      <c r="D616" s="14" t="n">
        <f aca="false">D609*Proyecto!$C$46</f>
        <v>0</v>
      </c>
    </row>
    <row r="617" customFormat="false" ht="15" hidden="false" customHeight="false" outlineLevel="0" collapsed="false">
      <c r="C617" s="8" t="s">
        <v>150</v>
      </c>
      <c r="D617" s="14" t="n">
        <f aca="false">D582*Proyecto!$C$47</f>
        <v>0</v>
      </c>
    </row>
    <row r="618" customFormat="false" ht="15" hidden="false" customHeight="false" outlineLevel="0" collapsed="false">
      <c r="C618" s="8" t="s">
        <v>151</v>
      </c>
      <c r="D618" s="14" t="n">
        <f aca="false">MAX(D615,D616,D617,0)</f>
        <v>0</v>
      </c>
    </row>
    <row r="619" customFormat="false" ht="15" hidden="false" customHeight="false" outlineLevel="0" collapsed="false">
      <c r="C619" s="8" t="s">
        <v>152</v>
      </c>
      <c r="D619" s="14" t="n">
        <f aca="false">D614*Proyecto!$C$32*Referencia!$C$179</f>
        <v>0</v>
      </c>
    </row>
    <row r="620" customFormat="false" ht="15" hidden="false" customHeight="false" outlineLevel="0" collapsed="false">
      <c r="C620" s="8" t="s">
        <v>153</v>
      </c>
      <c r="D620" s="14" t="n">
        <f aca="false">D618*Proyecto!$C$32*Referencia!$C$179</f>
        <v>0</v>
      </c>
    </row>
    <row r="621" customFormat="false" ht="15" hidden="false" customHeight="false" outlineLevel="0" collapsed="false">
      <c r="C621" s="8" t="s">
        <v>154</v>
      </c>
      <c r="D621" s="14" t="n">
        <f aca="false">D611+D619</f>
        <v>0</v>
      </c>
    </row>
    <row r="622" customFormat="false" ht="15" hidden="false" customHeight="false" outlineLevel="0" collapsed="false">
      <c r="C622" s="8" t="s">
        <v>155</v>
      </c>
      <c r="D622" s="14" t="n">
        <f aca="false">D621*Proyecto!$C$39</f>
        <v>0</v>
      </c>
    </row>
    <row r="623" customFormat="false" ht="15" hidden="false" customHeight="false" outlineLevel="0" collapsed="false">
      <c r="C623" s="8" t="s">
        <v>156</v>
      </c>
      <c r="D623" s="14" t="n">
        <f aca="false">D621+D622</f>
        <v>0</v>
      </c>
    </row>
    <row r="624" customFormat="false" ht="15" hidden="false" customHeight="false" outlineLevel="0" collapsed="false">
      <c r="C624" s="8" t="s">
        <v>157</v>
      </c>
      <c r="D624" s="36" t="n">
        <f aca="false">D623+D620</f>
        <v>0</v>
      </c>
    </row>
    <row r="626" customFormat="false" ht="15" hidden="false" customHeight="false" outlineLevel="0" collapsed="false">
      <c r="C626" s="34" t="s">
        <v>158</v>
      </c>
      <c r="D626" s="37" t="n">
        <f aca="false">Referencia!C$132</f>
        <v>8</v>
      </c>
      <c r="E626" s="37" t="n">
        <f aca="false">Referencia!D$132</f>
        <v>9</v>
      </c>
      <c r="F626" s="37" t="n">
        <f aca="false">Referencia!E$132</f>
        <v>10</v>
      </c>
      <c r="G626" s="37" t="n">
        <f aca="false">Referencia!F$132</f>
        <v>11</v>
      </c>
      <c r="H626" s="37" t="n">
        <f aca="false">Referencia!G$132</f>
        <v>12</v>
      </c>
      <c r="I626" s="37" t="n">
        <f aca="false">Referencia!H$132</f>
        <v>13</v>
      </c>
      <c r="J626" s="37" t="n">
        <f aca="false">Referencia!I$132</f>
        <v>14</v>
      </c>
      <c r="K626" s="37" t="n">
        <f aca="false">Referencia!J$132</f>
        <v>15</v>
      </c>
      <c r="L626" s="37" t="n">
        <f aca="false">Referencia!K$132</f>
        <v>16</v>
      </c>
      <c r="M626" s="37" t="n">
        <f aca="false">Referencia!L$132</f>
        <v>17</v>
      </c>
      <c r="N626" s="37" t="n">
        <f aca="false">Referencia!M$132</f>
        <v>18</v>
      </c>
    </row>
    <row r="627" customFormat="false" ht="15" hidden="false" customHeight="false" outlineLevel="0" collapsed="false">
      <c r="C627" s="8" t="s">
        <v>159</v>
      </c>
      <c r="D627" s="14" t="n">
        <f aca="false">D592*SUMPRODUCT(Captura_Zonas!$H$14:$O$14,Referencia!$C$158:$J$158)</f>
        <v>0</v>
      </c>
      <c r="E627" s="14" t="n">
        <f aca="false">D592*SUMPRODUCT(Captura_Zonas!$H$14:$O$14,Referencia!$C$159:$J$159)</f>
        <v>0</v>
      </c>
      <c r="F627" s="14" t="n">
        <f aca="false">D592*SUMPRODUCT(Captura_Zonas!$H$14:$O$14,Referencia!$C$160:$J$160)</f>
        <v>0</v>
      </c>
      <c r="G627" s="14" t="n">
        <f aca="false">D592*SUMPRODUCT(Captura_Zonas!$H$14:$O$14,Referencia!$C$161:$J$161)</f>
        <v>0</v>
      </c>
      <c r="H627" s="14" t="n">
        <f aca="false">D592*SUMPRODUCT(Captura_Zonas!$H$14:$O$14,Referencia!$C$162:$J$162)</f>
        <v>0</v>
      </c>
      <c r="I627" s="14" t="n">
        <f aca="false">D592*SUMPRODUCT(Captura_Zonas!$H$14:$O$14,Referencia!$C$163:$J$163)</f>
        <v>0</v>
      </c>
      <c r="J627" s="14" t="n">
        <f aca="false">D592*SUMPRODUCT(Captura_Zonas!$H$14:$O$14,Referencia!$C$164:$J$164)</f>
        <v>0</v>
      </c>
      <c r="K627" s="14" t="n">
        <f aca="false">D592*SUMPRODUCT(Captura_Zonas!$H$14:$O$14,Referencia!$C$165:$J$165)</f>
        <v>0</v>
      </c>
      <c r="L627" s="14" t="n">
        <f aca="false">D592*SUMPRODUCT(Captura_Zonas!$H$14:$O$14,Referencia!$C$166:$J$166)</f>
        <v>0</v>
      </c>
      <c r="M627" s="14" t="n">
        <f aca="false">D592*SUMPRODUCT(Captura_Zonas!$H$14:$O$14,Referencia!$C$167:$J$167)</f>
        <v>0</v>
      </c>
      <c r="N627" s="14" t="n">
        <f aca="false">D592*SUMPRODUCT(Captura_Zonas!$H$14:$O$14,Referencia!$C$168:$J$168)</f>
        <v>0</v>
      </c>
    </row>
    <row r="628" customFormat="false" ht="15" hidden="false" customHeight="false" outlineLevel="0" collapsed="false">
      <c r="C628" s="8" t="s">
        <v>160</v>
      </c>
      <c r="D628" s="14" t="n">
        <f aca="false">D594*Captura_Zonas!P14*Referencia!C$171</f>
        <v>0</v>
      </c>
      <c r="E628" s="14" t="n">
        <f aca="false">D594*Captura_Zonas!P14*Referencia!D$171</f>
        <v>0</v>
      </c>
      <c r="F628" s="14" t="n">
        <f aca="false">D594*Captura_Zonas!P14*Referencia!E$171</f>
        <v>0</v>
      </c>
      <c r="G628" s="14" t="n">
        <f aca="false">D594*Captura_Zonas!P14*Referencia!F$171</f>
        <v>0</v>
      </c>
      <c r="H628" s="14" t="n">
        <f aca="false">D594*Captura_Zonas!P14*Referencia!G$171</f>
        <v>0</v>
      </c>
      <c r="I628" s="14" t="n">
        <f aca="false">D594*Captura_Zonas!P14*Referencia!H$171</f>
        <v>0</v>
      </c>
      <c r="J628" s="14" t="n">
        <f aca="false">D594*Captura_Zonas!P14*Referencia!I$171</f>
        <v>0</v>
      </c>
      <c r="K628" s="14" t="n">
        <f aca="false">D594*Captura_Zonas!P14*Referencia!J$171</f>
        <v>0</v>
      </c>
      <c r="L628" s="14" t="n">
        <f aca="false">D594*Captura_Zonas!P14*Referencia!K$171</f>
        <v>0</v>
      </c>
      <c r="M628" s="14" t="n">
        <f aca="false">D594*Captura_Zonas!P14*Referencia!L$171</f>
        <v>0</v>
      </c>
      <c r="N628" s="14" t="n">
        <f aca="false">D594*Captura_Zonas!P14*Referencia!M$171</f>
        <v>0</v>
      </c>
    </row>
    <row r="629" customFormat="false" ht="15" hidden="false" customHeight="false" outlineLevel="0" collapsed="false">
      <c r="C629" s="8" t="s">
        <v>161</v>
      </c>
      <c r="D629" s="14" t="n">
        <f aca="false">D596*(Captura_Zonas!S14+Captura_Zonas!T14+Captura_Zonas!U14+Captura_Zonas!V14+Captura_Zonas!W14+Captura_Zonas!X14+Captura_Zonas!Y14+Captura_Zonas!Z14)*Referencia!C$139</f>
        <v>0</v>
      </c>
      <c r="E629" s="14" t="n">
        <f aca="false">D596*(Captura_Zonas!S14+Captura_Zonas!T14+Captura_Zonas!U14+Captura_Zonas!V14+Captura_Zonas!W14+Captura_Zonas!X14+Captura_Zonas!Y14+Captura_Zonas!Z14)*Referencia!D$139</f>
        <v>0</v>
      </c>
      <c r="F629" s="14" t="n">
        <f aca="false">D596*(Captura_Zonas!S14+Captura_Zonas!T14+Captura_Zonas!U14+Captura_Zonas!V14+Captura_Zonas!W14+Captura_Zonas!X14+Captura_Zonas!Y14+Captura_Zonas!Z14)*Referencia!E$139</f>
        <v>0</v>
      </c>
      <c r="G629" s="14" t="n">
        <f aca="false">D596*(Captura_Zonas!S14+Captura_Zonas!T14+Captura_Zonas!U14+Captura_Zonas!V14+Captura_Zonas!W14+Captura_Zonas!X14+Captura_Zonas!Y14+Captura_Zonas!Z14)*Referencia!F$139</f>
        <v>0</v>
      </c>
      <c r="H629" s="14" t="n">
        <f aca="false">D596*(Captura_Zonas!S14+Captura_Zonas!T14+Captura_Zonas!U14+Captura_Zonas!V14+Captura_Zonas!W14+Captura_Zonas!X14+Captura_Zonas!Y14+Captura_Zonas!Z14)*Referencia!G$139</f>
        <v>0</v>
      </c>
      <c r="I629" s="14" t="n">
        <f aca="false">D596*(Captura_Zonas!S14+Captura_Zonas!T14+Captura_Zonas!U14+Captura_Zonas!V14+Captura_Zonas!W14+Captura_Zonas!X14+Captura_Zonas!Y14+Captura_Zonas!Z14)*Referencia!H$139</f>
        <v>0</v>
      </c>
      <c r="J629" s="14" t="n">
        <f aca="false">D596*(Captura_Zonas!S14+Captura_Zonas!T14+Captura_Zonas!U14+Captura_Zonas!V14+Captura_Zonas!W14+Captura_Zonas!X14+Captura_Zonas!Y14+Captura_Zonas!Z14)*Referencia!I$139</f>
        <v>0</v>
      </c>
      <c r="K629" s="14" t="n">
        <f aca="false">D596*(Captura_Zonas!S14+Captura_Zonas!T14+Captura_Zonas!U14+Captura_Zonas!V14+Captura_Zonas!W14+Captura_Zonas!X14+Captura_Zonas!Y14+Captura_Zonas!Z14)*Referencia!J$139</f>
        <v>0</v>
      </c>
      <c r="L629" s="14" t="n">
        <f aca="false">D596*(Captura_Zonas!S14+Captura_Zonas!T14+Captura_Zonas!U14+Captura_Zonas!V14+Captura_Zonas!W14+Captura_Zonas!X14+Captura_Zonas!Y14+Captura_Zonas!Z14)*Referencia!K$139</f>
        <v>0</v>
      </c>
      <c r="M629" s="14" t="n">
        <f aca="false">D596*(Captura_Zonas!S14+Captura_Zonas!T14+Captura_Zonas!U14+Captura_Zonas!V14+Captura_Zonas!W14+Captura_Zonas!X14+Captura_Zonas!Y14+Captura_Zonas!Z14)*Referencia!L$139</f>
        <v>0</v>
      </c>
      <c r="N629" s="14" t="n">
        <f aca="false">D596*(Captura_Zonas!S14+Captura_Zonas!T14+Captura_Zonas!U14+Captura_Zonas!V14+Captura_Zonas!W14+Captura_Zonas!X14+Captura_Zonas!Y14+Captura_Zonas!Z14)*Referencia!M$139</f>
        <v>0</v>
      </c>
    </row>
    <row r="630" customFormat="false" ht="15" hidden="false" customHeight="false" outlineLevel="0" collapsed="false">
      <c r="C630" s="8" t="s">
        <v>162</v>
      </c>
      <c r="D630" s="14" t="n">
        <f aca="false">D597*D602*SUMPRODUCT(Captura_Zonas!$S$14:$Z$14,Referencia!$C$111:$J$111,Referencia!$C$119:$J$119)</f>
        <v>0</v>
      </c>
      <c r="E630" s="14" t="n">
        <f aca="false">D597*D602*SUMPRODUCT(Captura_Zonas!$S$14:$Z$14,Referencia!$C$111:$J$111,Referencia!$C$120:$J$120)</f>
        <v>0</v>
      </c>
      <c r="F630" s="14" t="n">
        <f aca="false">D597*D602*SUMPRODUCT(Captura_Zonas!$S$14:$Z$14,Referencia!$C$111:$J$111,Referencia!$C$121:$J$121)</f>
        <v>0</v>
      </c>
      <c r="G630" s="14" t="n">
        <f aca="false">D597*D602*SUMPRODUCT(Captura_Zonas!$S$14:$Z$14,Referencia!$C$111:$J$111,Referencia!$C$122:$J$122)</f>
        <v>0</v>
      </c>
      <c r="H630" s="14" t="n">
        <f aca="false">D597*D602*SUMPRODUCT(Captura_Zonas!$S$14:$Z$14,Referencia!$C$111:$J$111,Referencia!$C$123:$J$123)</f>
        <v>0</v>
      </c>
      <c r="I630" s="14" t="n">
        <f aca="false">D597*D602*SUMPRODUCT(Captura_Zonas!$S$14:$Z$14,Referencia!$C$111:$J$111,Referencia!$C$124:$J$124)</f>
        <v>0</v>
      </c>
      <c r="J630" s="14" t="n">
        <f aca="false">D597*D602*SUMPRODUCT(Captura_Zonas!$S$14:$Z$14,Referencia!$C$111:$J$111,Referencia!$C$125:$J$125)</f>
        <v>0</v>
      </c>
      <c r="K630" s="14" t="n">
        <f aca="false">D597*D602*SUMPRODUCT(Captura_Zonas!$S$14:$Z$14,Referencia!$C$111:$J$111,Referencia!$C$126:$J$126)</f>
        <v>0</v>
      </c>
      <c r="L630" s="14" t="n">
        <f aca="false">D597*D602*SUMPRODUCT(Captura_Zonas!$S$14:$Z$14,Referencia!$C$111:$J$111,Referencia!$C$127:$J$127)</f>
        <v>0</v>
      </c>
      <c r="M630" s="14" t="n">
        <f aca="false">D597*D602*SUMPRODUCT(Captura_Zonas!$S$14:$Z$14,Referencia!$C$111:$J$111,Referencia!$C$128:$J$128)</f>
        <v>0</v>
      </c>
      <c r="N630" s="14" t="n">
        <f aca="false">D597*D602*SUMPRODUCT(Captura_Zonas!$S$14:$Z$14,Referencia!$C$111:$J$111,Referencia!$C$129:$J$129)</f>
        <v>0</v>
      </c>
    </row>
    <row r="631" customFormat="false" ht="15" hidden="false" customHeight="false" outlineLevel="0" collapsed="false">
      <c r="C631" s="8" t="s">
        <v>163</v>
      </c>
      <c r="D631" s="14" t="n">
        <f aca="false">D582*Proyecto!$C$52*Proyecto!$C$51*MAX(3,Referencia!C$139*0.35)</f>
        <v>0</v>
      </c>
      <c r="E631" s="14" t="n">
        <f aca="false">D582*Proyecto!$C$52*Proyecto!$C$51*MAX(3,Referencia!D$139*0.35)</f>
        <v>0</v>
      </c>
      <c r="F631" s="14" t="n">
        <f aca="false">D582*Proyecto!$C$52*Proyecto!$C$51*MAX(3,Referencia!E$139*0.35)</f>
        <v>0</v>
      </c>
      <c r="G631" s="14" t="n">
        <f aca="false">D582*Proyecto!$C$52*Proyecto!$C$51*MAX(3,Referencia!F$139*0.35)</f>
        <v>0</v>
      </c>
      <c r="H631" s="14" t="n">
        <f aca="false">D582*Proyecto!$C$52*Proyecto!$C$51*MAX(3,Referencia!G$139*0.35)</f>
        <v>0</v>
      </c>
      <c r="I631" s="14" t="n">
        <f aca="false">D582*Proyecto!$C$52*Proyecto!$C$51*MAX(3,Referencia!H$139*0.35)</f>
        <v>0</v>
      </c>
      <c r="J631" s="14" t="n">
        <f aca="false">D582*Proyecto!$C$52*Proyecto!$C$51*MAX(3,Referencia!I$139*0.35)</f>
        <v>0</v>
      </c>
      <c r="K631" s="14" t="n">
        <f aca="false">D582*Proyecto!$C$52*Proyecto!$C$51*MAX(3,Referencia!J$139*0.35)</f>
        <v>0</v>
      </c>
      <c r="L631" s="14" t="n">
        <f aca="false">D582*Proyecto!$C$52*Proyecto!$C$51*MAX(3,Referencia!K$139*0.35)</f>
        <v>0</v>
      </c>
      <c r="M631" s="14" t="n">
        <f aca="false">D582*Proyecto!$C$52*Proyecto!$C$51*MAX(3,Referencia!L$139*0.35)</f>
        <v>0</v>
      </c>
      <c r="N631" s="14" t="n">
        <f aca="false">D582*Proyecto!$C$52*Proyecto!$C$51*MAX(3,Referencia!M$139*0.35)</f>
        <v>0</v>
      </c>
    </row>
    <row r="632" customFormat="false" ht="15" hidden="false" customHeight="false" outlineLevel="0" collapsed="false">
      <c r="C632" s="8" t="s">
        <v>164</v>
      </c>
      <c r="D632" s="14" t="n">
        <f aca="false">IF(Captura_Zonas!P14&lt;=0,D582*Proyecto!$C$54*Proyecto!$C$53*MAX(2,Referencia!C$139*0.25),0)</f>
        <v>0</v>
      </c>
      <c r="E632" s="14" t="n">
        <f aca="false">IF(Captura_Zonas!P14&lt;=0,D582*Proyecto!$C$54*Proyecto!$C$53*MAX(2,Referencia!D$139*0.25),0)</f>
        <v>0</v>
      </c>
      <c r="F632" s="14" t="n">
        <f aca="false">IF(Captura_Zonas!P14&lt;=0,D582*Proyecto!$C$54*Proyecto!$C$53*MAX(2,Referencia!E$139*0.25),0)</f>
        <v>0</v>
      </c>
      <c r="G632" s="14" t="n">
        <f aca="false">IF(Captura_Zonas!P14&lt;=0,D582*Proyecto!$C$54*Proyecto!$C$53*MAX(2,Referencia!F$139*0.25),0)</f>
        <v>0</v>
      </c>
      <c r="H632" s="14" t="n">
        <f aca="false">IF(Captura_Zonas!P14&lt;=0,D582*Proyecto!$C$54*Proyecto!$C$53*MAX(2,Referencia!G$139*0.25),0)</f>
        <v>0</v>
      </c>
      <c r="I632" s="14" t="n">
        <f aca="false">IF(Captura_Zonas!P14&lt;=0,D582*Proyecto!$C$54*Proyecto!$C$53*MAX(2,Referencia!H$139*0.25),0)</f>
        <v>0</v>
      </c>
      <c r="J632" s="14" t="n">
        <f aca="false">IF(Captura_Zonas!P14&lt;=0,D582*Proyecto!$C$54*Proyecto!$C$53*MAX(2,Referencia!I$139*0.25),0)</f>
        <v>0</v>
      </c>
      <c r="K632" s="14" t="n">
        <f aca="false">IF(Captura_Zonas!P14&lt;=0,D582*Proyecto!$C$54*Proyecto!$C$53*MAX(2,Referencia!J$139*0.25),0)</f>
        <v>0</v>
      </c>
      <c r="L632" s="14" t="n">
        <f aca="false">IF(Captura_Zonas!P14&lt;=0,D582*Proyecto!$C$54*Proyecto!$C$53*MAX(2,Referencia!K$139*0.25),0)</f>
        <v>0</v>
      </c>
      <c r="M632" s="14" t="n">
        <f aca="false">IF(Captura_Zonas!P14&lt;=0,D582*Proyecto!$C$54*Proyecto!$C$53*MAX(2,Referencia!L$139*0.25),0)</f>
        <v>0</v>
      </c>
      <c r="N632" s="14" t="n">
        <f aca="false">IF(Captura_Zonas!P14&lt;=0,D582*Proyecto!$C$54*Proyecto!$C$53*MAX(2,Referencia!M$139*0.25),0)</f>
        <v>0</v>
      </c>
    </row>
    <row r="633" customFormat="false" ht="15" hidden="false" customHeight="false" outlineLevel="0" collapsed="false">
      <c r="C633" s="8" t="s">
        <v>165</v>
      </c>
      <c r="D633" s="14" t="n">
        <f aca="false">D614*Proyecto!$C$31*Referencia!C$139</f>
        <v>0</v>
      </c>
      <c r="E633" s="14" t="n">
        <f aca="false">D614*Proyecto!$C$31*Referencia!D$139</f>
        <v>0</v>
      </c>
      <c r="F633" s="14" t="n">
        <f aca="false">D614*Proyecto!$C$31*Referencia!E$139</f>
        <v>0</v>
      </c>
      <c r="G633" s="14" t="n">
        <f aca="false">D614*Proyecto!$C$31*Referencia!F$139</f>
        <v>0</v>
      </c>
      <c r="H633" s="14" t="n">
        <f aca="false">D614*Proyecto!$C$31*Referencia!G$139</f>
        <v>0</v>
      </c>
      <c r="I633" s="14" t="n">
        <f aca="false">D614*Proyecto!$C$31*Referencia!H$139</f>
        <v>0</v>
      </c>
      <c r="J633" s="14" t="n">
        <f aca="false">D614*Proyecto!$C$31*Referencia!I$139</f>
        <v>0</v>
      </c>
      <c r="K633" s="14" t="n">
        <f aca="false">D614*Proyecto!$C$31*Referencia!J$139</f>
        <v>0</v>
      </c>
      <c r="L633" s="14" t="n">
        <f aca="false">D614*Proyecto!$C$31*Referencia!K$139</f>
        <v>0</v>
      </c>
      <c r="M633" s="14" t="n">
        <f aca="false">D614*Proyecto!$C$31*Referencia!L$139</f>
        <v>0</v>
      </c>
      <c r="N633" s="14" t="n">
        <f aca="false">D614*Proyecto!$C$31*Referencia!M$139</f>
        <v>0</v>
      </c>
    </row>
    <row r="634" customFormat="false" ht="15" hidden="false" customHeight="false" outlineLevel="0" collapsed="false">
      <c r="C634" s="8" t="s">
        <v>166</v>
      </c>
      <c r="D634" s="14" t="n">
        <f aca="false">D618*Proyecto!$C$31*Referencia!C$139</f>
        <v>0</v>
      </c>
      <c r="E634" s="14" t="n">
        <f aca="false">D618*Proyecto!$C$31*Referencia!D$139</f>
        <v>0</v>
      </c>
      <c r="F634" s="14" t="n">
        <f aca="false">D618*Proyecto!$C$31*Referencia!E$139</f>
        <v>0</v>
      </c>
      <c r="G634" s="14" t="n">
        <f aca="false">D618*Proyecto!$C$31*Referencia!F$139</f>
        <v>0</v>
      </c>
      <c r="H634" s="14" t="n">
        <f aca="false">D618*Proyecto!$C$31*Referencia!G$139</f>
        <v>0</v>
      </c>
      <c r="I634" s="14" t="n">
        <f aca="false">D618*Proyecto!$C$31*Referencia!H$139</f>
        <v>0</v>
      </c>
      <c r="J634" s="14" t="n">
        <f aca="false">D618*Proyecto!$C$31*Referencia!I$139</f>
        <v>0</v>
      </c>
      <c r="K634" s="14" t="n">
        <f aca="false">D618*Proyecto!$C$31*Referencia!J$139</f>
        <v>0</v>
      </c>
      <c r="L634" s="14" t="n">
        <f aca="false">D618*Proyecto!$C$31*Referencia!K$139</f>
        <v>0</v>
      </c>
      <c r="M634" s="14" t="n">
        <f aca="false">D618*Proyecto!$C$31*Referencia!L$139</f>
        <v>0</v>
      </c>
      <c r="N634" s="14" t="n">
        <f aca="false">D618*Proyecto!$C$31*Referencia!M$139</f>
        <v>0</v>
      </c>
    </row>
    <row r="635" customFormat="false" ht="15" hidden="false" customHeight="false" outlineLevel="0" collapsed="false">
      <c r="C635" s="8" t="s">
        <v>167</v>
      </c>
      <c r="D635" s="14" t="n">
        <f aca="false">D627+D628+D629+D630+D631+D632+$D$610+$D$612+$D$613+D633</f>
        <v>0</v>
      </c>
      <c r="E635" s="14" t="n">
        <f aca="false">E627+E628+E629+E630+E631+E632+$D$610+$D$612+$D$613+E633</f>
        <v>0</v>
      </c>
      <c r="F635" s="14" t="n">
        <f aca="false">F627+F628+F629+F630+F631+F632+$D$610+$D$612+$D$613+F633</f>
        <v>0</v>
      </c>
      <c r="G635" s="14" t="n">
        <f aca="false">G627+G628+G629+G630+G631+G632+$D$610+$D$612+$D$613+G633</f>
        <v>0</v>
      </c>
      <c r="H635" s="14" t="n">
        <f aca="false">H627+H628+H629+H630+H631+H632+$D$610+$D$612+$D$613+H633</f>
        <v>0</v>
      </c>
      <c r="I635" s="14" t="n">
        <f aca="false">I627+I628+I629+I630+I631+I632+$D$610+$D$612+$D$613+I633</f>
        <v>0</v>
      </c>
      <c r="J635" s="14" t="n">
        <f aca="false">J627+J628+J629+J630+J631+J632+$D$610+$D$612+$D$613+J633</f>
        <v>0</v>
      </c>
      <c r="K635" s="14" t="n">
        <f aca="false">K627+K628+K629+K630+K631+K632+$D$610+$D$612+$D$613+K633</f>
        <v>0</v>
      </c>
      <c r="L635" s="14" t="n">
        <f aca="false">L627+L628+L629+L630+L631+L632+$D$610+$D$612+$D$613+L633</f>
        <v>0</v>
      </c>
      <c r="M635" s="14" t="n">
        <f aca="false">M627+M628+M629+M630+M631+M632+$D$610+$D$612+$D$613+M633</f>
        <v>0</v>
      </c>
      <c r="N635" s="14" t="n">
        <f aca="false">N627+N628+N629+N630+N631+N632+$D$610+$D$612+$D$613+N633</f>
        <v>0</v>
      </c>
    </row>
    <row r="636" customFormat="false" ht="15" hidden="false" customHeight="false" outlineLevel="0" collapsed="false">
      <c r="C636" s="8" t="s">
        <v>168</v>
      </c>
      <c r="D636" s="14" t="n">
        <f aca="false">D635*Proyecto!$C$42</f>
        <v>0</v>
      </c>
      <c r="E636" s="14" t="n">
        <f aca="false">E635*Proyecto!$C$42</f>
        <v>0</v>
      </c>
      <c r="F636" s="14" t="n">
        <f aca="false">F635*Proyecto!$C$42</f>
        <v>0</v>
      </c>
      <c r="G636" s="14" t="n">
        <f aca="false">G635*Proyecto!$C$42</f>
        <v>0</v>
      </c>
      <c r="H636" s="14" t="n">
        <f aca="false">H635*Proyecto!$C$42</f>
        <v>0</v>
      </c>
      <c r="I636" s="14" t="n">
        <f aca="false">I635*Proyecto!$C$42</f>
        <v>0</v>
      </c>
      <c r="J636" s="14" t="n">
        <f aca="false">J635*Proyecto!$C$42</f>
        <v>0</v>
      </c>
      <c r="K636" s="14" t="n">
        <f aca="false">K635*Proyecto!$C$42</f>
        <v>0</v>
      </c>
      <c r="L636" s="14" t="n">
        <f aca="false">L635*Proyecto!$C$42</f>
        <v>0</v>
      </c>
      <c r="M636" s="14" t="n">
        <f aca="false">M635*Proyecto!$C$42</f>
        <v>0</v>
      </c>
      <c r="N636" s="14" t="n">
        <f aca="false">N635*Proyecto!$C$42</f>
        <v>0</v>
      </c>
    </row>
    <row r="637" customFormat="false" ht="15" hidden="false" customHeight="false" outlineLevel="0" collapsed="false">
      <c r="C637" s="8" t="s">
        <v>169</v>
      </c>
      <c r="D637" s="14" t="n">
        <f aca="false">D635*Proyecto!$C$43</f>
        <v>0</v>
      </c>
      <c r="E637" s="14" t="n">
        <f aca="false">E635*Proyecto!$C$43</f>
        <v>0</v>
      </c>
      <c r="F637" s="14" t="n">
        <f aca="false">F635*Proyecto!$C$43</f>
        <v>0</v>
      </c>
      <c r="G637" s="14" t="n">
        <f aca="false">G635*Proyecto!$C$43</f>
        <v>0</v>
      </c>
      <c r="H637" s="14" t="n">
        <f aca="false">H635*Proyecto!$C$43</f>
        <v>0</v>
      </c>
      <c r="I637" s="14" t="n">
        <f aca="false">I635*Proyecto!$C$43</f>
        <v>0</v>
      </c>
      <c r="J637" s="14" t="n">
        <f aca="false">J635*Proyecto!$C$43</f>
        <v>0</v>
      </c>
      <c r="K637" s="14" t="n">
        <f aca="false">K635*Proyecto!$C$43</f>
        <v>0</v>
      </c>
      <c r="L637" s="14" t="n">
        <f aca="false">L635*Proyecto!$C$43</f>
        <v>0</v>
      </c>
      <c r="M637" s="14" t="n">
        <f aca="false">M635*Proyecto!$C$43</f>
        <v>0</v>
      </c>
      <c r="N637" s="14" t="n">
        <f aca="false">N635*Proyecto!$C$43</f>
        <v>0</v>
      </c>
    </row>
    <row r="638" customFormat="false" ht="15" hidden="false" customHeight="false" outlineLevel="0" collapsed="false">
      <c r="C638" s="8" t="s">
        <v>170</v>
      </c>
      <c r="D638" s="14" t="n">
        <f aca="false">(D635+D636+D637)*Proyecto!$C$39</f>
        <v>0</v>
      </c>
      <c r="E638" s="14" t="n">
        <f aca="false">(E635+E636+E637)*Proyecto!$C$39</f>
        <v>0</v>
      </c>
      <c r="F638" s="14" t="n">
        <f aca="false">(F635+F636+F637)*Proyecto!$C$39</f>
        <v>0</v>
      </c>
      <c r="G638" s="14" t="n">
        <f aca="false">(G635+G636+G637)*Proyecto!$C$39</f>
        <v>0</v>
      </c>
      <c r="H638" s="14" t="n">
        <f aca="false">(H635+H636+H637)*Proyecto!$C$39</f>
        <v>0</v>
      </c>
      <c r="I638" s="14" t="n">
        <f aca="false">(I635+I636+I637)*Proyecto!$C$39</f>
        <v>0</v>
      </c>
      <c r="J638" s="14" t="n">
        <f aca="false">(J635+J636+J637)*Proyecto!$C$39</f>
        <v>0</v>
      </c>
      <c r="K638" s="14" t="n">
        <f aca="false">(K635+K636+K637)*Proyecto!$C$39</f>
        <v>0</v>
      </c>
      <c r="L638" s="14" t="n">
        <f aca="false">(L635+L636+L637)*Proyecto!$C$39</f>
        <v>0</v>
      </c>
      <c r="M638" s="14" t="n">
        <f aca="false">(M635+M636+M637)*Proyecto!$C$39</f>
        <v>0</v>
      </c>
      <c r="N638" s="14" t="n">
        <f aca="false">(N635+N636+N637)*Proyecto!$C$39</f>
        <v>0</v>
      </c>
    </row>
    <row r="639" customFormat="false" ht="15" hidden="false" customHeight="false" outlineLevel="0" collapsed="false">
      <c r="C639" s="8" t="s">
        <v>171</v>
      </c>
      <c r="D639" s="14" t="n">
        <f aca="false">D635+D636+D637+D638</f>
        <v>0</v>
      </c>
      <c r="E639" s="14" t="n">
        <f aca="false">E635+E636+E637+E638</f>
        <v>0</v>
      </c>
      <c r="F639" s="14" t="n">
        <f aca="false">F635+F636+F637+F638</f>
        <v>0</v>
      </c>
      <c r="G639" s="14" t="n">
        <f aca="false">G635+G636+G637+G638</f>
        <v>0</v>
      </c>
      <c r="H639" s="14" t="n">
        <f aca="false">H635+H636+H637+H638</f>
        <v>0</v>
      </c>
      <c r="I639" s="14" t="n">
        <f aca="false">I635+I636+I637+I638</f>
        <v>0</v>
      </c>
      <c r="J639" s="14" t="n">
        <f aca="false">J635+J636+J637+J638</f>
        <v>0</v>
      </c>
      <c r="K639" s="14" t="n">
        <f aca="false">K635+K636+K637+K638</f>
        <v>0</v>
      </c>
      <c r="L639" s="14" t="n">
        <f aca="false">L635+L636+L637+L638</f>
        <v>0</v>
      </c>
      <c r="M639" s="14" t="n">
        <f aca="false">M635+M636+M637+M638</f>
        <v>0</v>
      </c>
      <c r="N639" s="14" t="n">
        <f aca="false">N635+N636+N637+N638</f>
        <v>0</v>
      </c>
    </row>
    <row r="640" customFormat="false" ht="15" hidden="false" customHeight="false" outlineLevel="0" collapsed="false">
      <c r="C640" s="8" t="s">
        <v>172</v>
      </c>
      <c r="D640" s="14" t="n">
        <f aca="false">D639+D634</f>
        <v>0</v>
      </c>
      <c r="E640" s="14" t="n">
        <f aca="false">E639+E634</f>
        <v>0</v>
      </c>
      <c r="F640" s="14" t="n">
        <f aca="false">F639+F634</f>
        <v>0</v>
      </c>
      <c r="G640" s="14" t="n">
        <f aca="false">G639+G634</f>
        <v>0</v>
      </c>
      <c r="H640" s="14" t="n">
        <f aca="false">H639+H634</f>
        <v>0</v>
      </c>
      <c r="I640" s="14" t="n">
        <f aca="false">I639+I634</f>
        <v>0</v>
      </c>
      <c r="J640" s="14" t="n">
        <f aca="false">J639+J634</f>
        <v>0</v>
      </c>
      <c r="K640" s="14" t="n">
        <f aca="false">K639+K634</f>
        <v>0</v>
      </c>
      <c r="L640" s="14" t="n">
        <f aca="false">L639+L634</f>
        <v>0</v>
      </c>
      <c r="M640" s="14" t="n">
        <f aca="false">M639+M634</f>
        <v>0</v>
      </c>
      <c r="N640" s="14" t="n">
        <f aca="false">N639+N634</f>
        <v>0</v>
      </c>
    </row>
    <row r="641" customFormat="false" ht="15" hidden="false" customHeight="false" outlineLevel="0" collapsed="false">
      <c r="C641" s="38" t="s">
        <v>173</v>
      </c>
      <c r="D641" s="36" t="n">
        <f aca="false">D640+$D$624</f>
        <v>0</v>
      </c>
      <c r="E641" s="36" t="n">
        <f aca="false">E640+$D$624</f>
        <v>0</v>
      </c>
      <c r="F641" s="36" t="n">
        <f aca="false">F640+$D$624</f>
        <v>0</v>
      </c>
      <c r="G641" s="36" t="n">
        <f aca="false">G640+$D$624</f>
        <v>0</v>
      </c>
      <c r="H641" s="36" t="n">
        <f aca="false">H640+$D$624</f>
        <v>0</v>
      </c>
      <c r="I641" s="36" t="n">
        <f aca="false">I640+$D$624</f>
        <v>0</v>
      </c>
      <c r="J641" s="36" t="n">
        <f aca="false">J640+$D$624</f>
        <v>0</v>
      </c>
      <c r="K641" s="36" t="n">
        <f aca="false">K640+$D$624</f>
        <v>0</v>
      </c>
      <c r="L641" s="36" t="n">
        <f aca="false">L640+$D$624</f>
        <v>0</v>
      </c>
      <c r="M641" s="36" t="n">
        <f aca="false">M640+$D$624</f>
        <v>0</v>
      </c>
      <c r="N641" s="36" t="n">
        <f aca="false">N640+$D$624</f>
        <v>0</v>
      </c>
    </row>
    <row r="642" customFormat="false" ht="15" hidden="false" customHeight="false" outlineLevel="0" collapsed="false">
      <c r="C642" s="8" t="s">
        <v>174</v>
      </c>
      <c r="D642" s="15" t="n">
        <f aca="false">D641/Proyecto!$C$48</f>
        <v>0</v>
      </c>
      <c r="E642" s="15" t="n">
        <f aca="false">E641/Proyecto!$C$48</f>
        <v>0</v>
      </c>
      <c r="F642" s="15" t="n">
        <f aca="false">F641/Proyecto!$C$48</f>
        <v>0</v>
      </c>
      <c r="G642" s="15" t="n">
        <f aca="false">G641/Proyecto!$C$48</f>
        <v>0</v>
      </c>
      <c r="H642" s="15" t="n">
        <f aca="false">H641/Proyecto!$C$48</f>
        <v>0</v>
      </c>
      <c r="I642" s="15" t="n">
        <f aca="false">I641/Proyecto!$C$48</f>
        <v>0</v>
      </c>
      <c r="J642" s="15" t="n">
        <f aca="false">J641/Proyecto!$C$48</f>
        <v>0</v>
      </c>
      <c r="K642" s="15" t="n">
        <f aca="false">K641/Proyecto!$C$48</f>
        <v>0</v>
      </c>
      <c r="L642" s="15" t="n">
        <f aca="false">L641/Proyecto!$C$48</f>
        <v>0</v>
      </c>
      <c r="M642" s="15" t="n">
        <f aca="false">M641/Proyecto!$C$48</f>
        <v>0</v>
      </c>
      <c r="N642" s="15" t="n">
        <f aca="false">N641/Proyecto!$C$48</f>
        <v>0</v>
      </c>
    </row>
    <row r="644" customFormat="false" ht="15" hidden="false" customHeight="false" outlineLevel="0" collapsed="false">
      <c r="C644" s="8" t="s">
        <v>175</v>
      </c>
      <c r="D644" s="36" t="n">
        <f aca="false">MAX(D641:N641)</f>
        <v>0</v>
      </c>
    </row>
    <row r="645" customFormat="false" ht="15" hidden="false" customHeight="false" outlineLevel="0" collapsed="false">
      <c r="C645" s="8" t="s">
        <v>176</v>
      </c>
      <c r="D645" s="14" t="n">
        <f aca="false">INDEX(D626:N626,MATCH(D644,D641:N641,0))</f>
        <v>8</v>
      </c>
    </row>
    <row r="646" customFormat="false" ht="15" hidden="false" customHeight="false" outlineLevel="0" collapsed="false">
      <c r="C646" s="8" t="s">
        <v>177</v>
      </c>
      <c r="D646" s="14" t="n">
        <f aca="false">INDEX(D639:N639,MATCH(D644,D641:N641,0))</f>
        <v>0</v>
      </c>
    </row>
    <row r="647" customFormat="false" ht="15" hidden="false" customHeight="false" outlineLevel="0" collapsed="false">
      <c r="C647" s="8" t="s">
        <v>178</v>
      </c>
      <c r="D647" s="14" t="n">
        <f aca="false">INDEX(D640:N640,MATCH(D644,D641:N641,0))</f>
        <v>0</v>
      </c>
    </row>
    <row r="648" customFormat="false" ht="15" hidden="false" customHeight="false" outlineLevel="0" collapsed="false">
      <c r="C648" s="8" t="s">
        <v>179</v>
      </c>
      <c r="D648" s="15" t="n">
        <f aca="false">D644/Proyecto!$C$48</f>
        <v>0</v>
      </c>
    </row>
    <row r="649" customFormat="false" ht="15" hidden="false" customHeight="false" outlineLevel="0" collapsed="false">
      <c r="C649" s="8" t="s">
        <v>180</v>
      </c>
      <c r="D649" s="15" t="n">
        <f aca="false">D644/1000</f>
        <v>0</v>
      </c>
    </row>
    <row r="650" customFormat="false" ht="15" hidden="false" customHeight="false" outlineLevel="0" collapsed="false">
      <c r="C650" s="8" t="s">
        <v>181</v>
      </c>
      <c r="D650" s="14" t="n">
        <f aca="false">(D646/(Proyecto!$C$31*Proyecto!$C$41))/1.699</f>
        <v>0</v>
      </c>
    </row>
    <row r="653" customFormat="false" ht="15" hidden="false" customHeight="false" outlineLevel="0" collapsed="false">
      <c r="C653" s="34" t="str">
        <f aca="false">Captura_Zonas!B15</f>
        <v>Zona 10</v>
      </c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</row>
    <row r="654" customFormat="false" ht="15" hidden="false" customHeight="false" outlineLevel="0" collapsed="false">
      <c r="C654" s="8" t="s">
        <v>61</v>
      </c>
      <c r="D654" s="15" t="n">
        <f aca="false">Captura_Zonas!C15</f>
        <v>0</v>
      </c>
    </row>
    <row r="655" customFormat="false" ht="15" hidden="false" customHeight="false" outlineLevel="0" collapsed="false">
      <c r="C655" s="8" t="s">
        <v>62</v>
      </c>
      <c r="D655" s="15" t="n">
        <f aca="false">MAX(0.1,Captura_Zonas!D15)</f>
        <v>0.1</v>
      </c>
    </row>
    <row r="656" customFormat="false" ht="15" hidden="false" customHeight="false" outlineLevel="0" collapsed="false">
      <c r="C656" s="8" t="s">
        <v>118</v>
      </c>
      <c r="D656" s="13" t="n">
        <f aca="false">D654*D655</f>
        <v>0</v>
      </c>
    </row>
    <row r="657" customFormat="false" ht="15" hidden="false" customHeight="false" outlineLevel="0" collapsed="false">
      <c r="C657" s="8" t="s">
        <v>63</v>
      </c>
      <c r="D657" s="8" t="str">
        <f aca="false">Captura_Zonas!E15</f>
        <v>Oficina</v>
      </c>
    </row>
    <row r="658" customFormat="false" ht="15" hidden="false" customHeight="false" outlineLevel="0" collapsed="false">
      <c r="C658" s="8" t="s">
        <v>119</v>
      </c>
      <c r="D658" s="14" t="n">
        <f aca="false">Captura_Zonas!F15</f>
        <v>16</v>
      </c>
    </row>
    <row r="659" customFormat="false" ht="15" hidden="false" customHeight="false" outlineLevel="0" collapsed="false">
      <c r="C659" s="8" t="s">
        <v>120</v>
      </c>
      <c r="D659" s="13" t="n">
        <f aca="false">INDEX(Referencia!$C$79:$C$88,MATCH(D657,Referencia!$B$79:$B$88,0))</f>
        <v>2.5</v>
      </c>
    </row>
    <row r="660" customFormat="false" ht="15" hidden="false" customHeight="false" outlineLevel="0" collapsed="false">
      <c r="C660" s="8" t="s">
        <v>121</v>
      </c>
      <c r="D660" s="15" t="n">
        <f aca="false">INDEX(Referencia!$D$79:$D$88,MATCH(D657,Referencia!$B$79:$B$88,0))</f>
        <v>0.3</v>
      </c>
    </row>
    <row r="661" customFormat="false" ht="15" hidden="false" customHeight="false" outlineLevel="0" collapsed="false">
      <c r="C661" s="8" t="s">
        <v>122</v>
      </c>
      <c r="D661" s="15" t="n">
        <f aca="false">INDEX(Referencia!$E$79:$E$88,MATCH(D657,Referencia!$B$79:$B$88,0))</f>
        <v>0.9</v>
      </c>
    </row>
    <row r="662" customFormat="false" ht="15" hidden="false" customHeight="false" outlineLevel="0" collapsed="false">
      <c r="C662" s="8" t="s">
        <v>123</v>
      </c>
      <c r="D662" s="15" t="n">
        <f aca="false">INDEX(Referencia!$F$79:$F$88,MATCH(D657,Referencia!$B$79:$B$88,0))</f>
        <v>0.95</v>
      </c>
    </row>
    <row r="663" customFormat="false" ht="15" hidden="false" customHeight="false" outlineLevel="0" collapsed="false">
      <c r="C663" s="8" t="s">
        <v>124</v>
      </c>
      <c r="D663" s="15" t="n">
        <f aca="false">INDEX(Referencia!$G$79:$G$88,MATCH(D657,Referencia!$B$79:$B$88,0))</f>
        <v>0.9</v>
      </c>
    </row>
    <row r="664" customFormat="false" ht="15" hidden="false" customHeight="false" outlineLevel="0" collapsed="false">
      <c r="C664" s="8" t="s">
        <v>125</v>
      </c>
      <c r="D664" s="16" t="n">
        <f aca="false">INDEX(Referencia!$C$15:$C$43,MATCH(Captura_Zonas!G15,Referencia!$B$15:$B$43,0))</f>
        <v>0.849</v>
      </c>
    </row>
    <row r="665" customFormat="false" ht="15" hidden="false" customHeight="false" outlineLevel="0" collapsed="false">
      <c r="C665" s="8" t="s">
        <v>126</v>
      </c>
      <c r="D665" s="14" t="n">
        <f aca="false">INDEX(Referencia!$D$15:$D$43,MATCH(Captura_Zonas!G15,Referencia!$B$15:$B$43,0))</f>
        <v>176</v>
      </c>
    </row>
    <row r="666" customFormat="false" ht="15" hidden="false" customHeight="false" outlineLevel="0" collapsed="false">
      <c r="C666" s="8" t="s">
        <v>127</v>
      </c>
      <c r="D666" s="16" t="n">
        <f aca="false">INDEX(Referencia!$C$47:$C$60,MATCH(Captura_Zonas!Q15,Referencia!$B$47:$B$60,0))</f>
        <v>0.55</v>
      </c>
    </row>
    <row r="667" customFormat="false" ht="15" hidden="false" customHeight="false" outlineLevel="0" collapsed="false">
      <c r="C667" s="8" t="s">
        <v>128</v>
      </c>
      <c r="D667" s="14" t="n">
        <f aca="false">INDEX(Referencia!$D$47:$D$60,MATCH(Captura_Zonas!Q15,Referencia!$B$47:$B$60,0))</f>
        <v>320</v>
      </c>
    </row>
    <row r="668" customFormat="false" ht="15" hidden="false" customHeight="false" outlineLevel="0" collapsed="false">
      <c r="C668" s="8" t="s">
        <v>129</v>
      </c>
      <c r="D668" s="15" t="n">
        <f aca="false">INDEX(Referencia!$C$64:$C$75,MATCH(Captura_Zonas!R15,Referencia!$B$64:$B$75,0))</f>
        <v>2.8</v>
      </c>
    </row>
    <row r="669" customFormat="false" ht="15" hidden="false" customHeight="false" outlineLevel="0" collapsed="false">
      <c r="C669" s="8" t="s">
        <v>130</v>
      </c>
      <c r="D669" s="15" t="n">
        <f aca="false">INDEX(Referencia!$E$64:$E$75,MATCH(Captura_Zonas!R15,Referencia!$B$64:$B$75,0))</f>
        <v>0.7</v>
      </c>
    </row>
    <row r="670" customFormat="false" ht="15" hidden="false" customHeight="false" outlineLevel="0" collapsed="false">
      <c r="C670" s="8" t="s">
        <v>131</v>
      </c>
      <c r="D670" s="13" t="n">
        <f aca="false">IF(D654&gt;0,((Captura_Zonas!H15+Captura_Zonas!I15+Captura_Zonas!J15+Captura_Zonas!K15+Captura_Zonas!L15+Captura_Zonas!M15+Captura_Zonas!N15+Captura_Zonas!O15)*D665+Captura_Zonas!P15*D667+(Captura_Zonas!S15+Captura_Zonas!T15+Captura_Zonas!U15+Captura_Zonas!V15+Captura_Zonas!W15+Captura_Zonas!X15+Captura_Zonas!Y15+Captura_Zonas!Z15)*25)/D654,200)</f>
        <v>200</v>
      </c>
    </row>
    <row r="671" customFormat="false" ht="15" hidden="false" customHeight="false" outlineLevel="0" collapsed="false">
      <c r="C671" s="8" t="s">
        <v>132</v>
      </c>
      <c r="D671" s="8" t="str">
        <f aca="false">IF(D670&lt;150,"Ligera",IF(D670&lt;350,"Media","Pesada"))</f>
        <v>Media</v>
      </c>
    </row>
    <row r="672" customFormat="false" ht="15" hidden="false" customHeight="false" outlineLevel="0" collapsed="false">
      <c r="C672" s="8" t="s">
        <v>133</v>
      </c>
      <c r="D672" s="13" t="n">
        <f aca="false">MAX(0,Captura_Zonas!AG15)</f>
        <v>0</v>
      </c>
    </row>
    <row r="673" customFormat="false" ht="15" hidden="false" customHeight="false" outlineLevel="0" collapsed="false">
      <c r="C673" s="8" t="s">
        <v>134</v>
      </c>
      <c r="D673" s="16" t="n">
        <f aca="false">IF(D672&lt;=0,1,MAX(0.75,1-D672*IF(D671="Pesada",0.04,IF(D671="Media",0.03,0.02))*2.5))</f>
        <v>1</v>
      </c>
    </row>
    <row r="674" customFormat="false" ht="15" hidden="false" customHeight="false" outlineLevel="0" collapsed="false">
      <c r="C674" s="8" t="s">
        <v>135</v>
      </c>
      <c r="D674" s="16" t="n">
        <f aca="false">INDEX(Referencia!$C$92:$E$94,MATCH(D658,Referencia!$B$92:$B$94,0),MATCH(D671,{"Ligera","Media","Pesada"},0))*D673</f>
        <v>0.66</v>
      </c>
    </row>
    <row r="675" customFormat="false" ht="15" hidden="false" customHeight="false" outlineLevel="0" collapsed="false">
      <c r="C675" s="8" t="s">
        <v>136</v>
      </c>
      <c r="D675" s="16" t="n">
        <f aca="false">INDEX(Referencia!$C$98:$E$100,MATCH(D658,Referencia!$B$98:$B$100,0),MATCH(D671,{"Ligera","Media","Pesada"},0))*D673</f>
        <v>0.7</v>
      </c>
    </row>
    <row r="676" customFormat="false" ht="15" hidden="false" customHeight="false" outlineLevel="0" collapsed="false">
      <c r="C676" s="8" t="s">
        <v>137</v>
      </c>
      <c r="D676" s="15" t="n">
        <f aca="false">INDEX(Referencia!$C$104:$C$106,MATCH(D658,Referencia!$B$104:$B$106,0))</f>
        <v>0.9</v>
      </c>
    </row>
    <row r="677" customFormat="false" ht="15" hidden="false" customHeight="false" outlineLevel="0" collapsed="false">
      <c r="C677" s="8" t="s">
        <v>138</v>
      </c>
      <c r="D677" s="15" t="n">
        <f aca="false">INDEX(Referencia!$D$104:$D$106,MATCH(D658,Referencia!$B$104:$B$106,0))</f>
        <v>0.9</v>
      </c>
    </row>
    <row r="678" customFormat="false" ht="15" hidden="false" customHeight="false" outlineLevel="0" collapsed="false">
      <c r="C678" s="8" t="s">
        <v>139</v>
      </c>
      <c r="D678" s="15" t="n">
        <f aca="false">IF(Captura_Zonas!AC15="Fluorescente",1.2,1)</f>
        <v>1</v>
      </c>
    </row>
    <row r="679" customFormat="false" ht="15" hidden="false" customHeight="false" outlineLevel="0" collapsed="false">
      <c r="C679" s="8" t="s">
        <v>140</v>
      </c>
      <c r="D679" s="35" t="b">
        <f aca="false">IF(Captura_Zonas!AF15="Auto",D655&gt;=3.5,Captura_Zonas!AF15="Sí")</f>
        <v>0</v>
      </c>
    </row>
    <row r="680" customFormat="false" ht="15" hidden="false" customHeight="false" outlineLevel="0" collapsed="false">
      <c r="C680" s="8" t="s">
        <v>141</v>
      </c>
      <c r="D680" s="15" t="n">
        <f aca="false">IF(D655&lt;=3.2,1,IF(AND(D679,D655&gt;=4),0.7,IF(D655&gt;=5,0.75,IF(D655&gt;=4,0.85,0.92))))</f>
        <v>1</v>
      </c>
    </row>
    <row r="681" customFormat="false" ht="15" hidden="false" customHeight="false" outlineLevel="0" collapsed="false">
      <c r="C681" s="8" t="s">
        <v>142</v>
      </c>
      <c r="D681" s="14" t="n">
        <f aca="false">MAX(0,ROUND(Captura_Zonas!AA15,0))</f>
        <v>0</v>
      </c>
    </row>
    <row r="682" customFormat="false" ht="15" hidden="false" customHeight="false" outlineLevel="0" collapsed="false">
      <c r="C682" s="8" t="s">
        <v>143</v>
      </c>
      <c r="D682" s="14" t="n">
        <f aca="false">D681*Proyecto!$C$44*D676*D661*Proyecto!$C$38</f>
        <v>0</v>
      </c>
    </row>
    <row r="683" customFormat="false" ht="15" hidden="false" customHeight="false" outlineLevel="0" collapsed="false">
      <c r="C683" s="8" t="s">
        <v>144</v>
      </c>
      <c r="D683" s="14" t="n">
        <f aca="false">D681*Proyecto!$C$45*D661*Proyecto!$C$38</f>
        <v>0</v>
      </c>
    </row>
    <row r="684" customFormat="false" ht="15" hidden="false" customHeight="false" outlineLevel="0" collapsed="false">
      <c r="C684" s="8" t="s">
        <v>145</v>
      </c>
      <c r="D684" s="14" t="n">
        <f aca="false">MAX(0,Captura_Zonas!AB15)*D678*D675*D662*Proyecto!$C$38*D680</f>
        <v>0</v>
      </c>
    </row>
    <row r="685" customFormat="false" ht="15" hidden="false" customHeight="false" outlineLevel="0" collapsed="false">
      <c r="C685" s="8" t="s">
        <v>146</v>
      </c>
      <c r="D685" s="14" t="n">
        <f aca="false">MAX(0,Captura_Zonas!AD15)*D677*D663*Proyecto!$C$38</f>
        <v>0</v>
      </c>
    </row>
    <row r="686" customFormat="false" ht="15" hidden="false" customHeight="false" outlineLevel="0" collapsed="false">
      <c r="C686" s="8" t="s">
        <v>147</v>
      </c>
      <c r="D686" s="14" t="n">
        <f aca="false">D656*MAX(0,Captura_Zonas!AE15)</f>
        <v>0</v>
      </c>
    </row>
    <row r="687" customFormat="false" ht="15" hidden="false" customHeight="false" outlineLevel="0" collapsed="false">
      <c r="C687" s="8" t="s">
        <v>148</v>
      </c>
      <c r="D687" s="14" t="n">
        <f aca="false">(D659*D681+D660*D654)*3.6</f>
        <v>0</v>
      </c>
    </row>
    <row r="688" customFormat="false" ht="15" hidden="false" customHeight="false" outlineLevel="0" collapsed="false">
      <c r="C688" s="8" t="s">
        <v>149</v>
      </c>
      <c r="D688" s="14" t="n">
        <f aca="false">D681*Proyecto!$C$46</f>
        <v>0</v>
      </c>
    </row>
    <row r="689" customFormat="false" ht="15" hidden="false" customHeight="false" outlineLevel="0" collapsed="false">
      <c r="C689" s="8" t="s">
        <v>150</v>
      </c>
      <c r="D689" s="14" t="n">
        <f aca="false">D654*Proyecto!$C$47</f>
        <v>0</v>
      </c>
    </row>
    <row r="690" customFormat="false" ht="15" hidden="false" customHeight="false" outlineLevel="0" collapsed="false">
      <c r="C690" s="8" t="s">
        <v>151</v>
      </c>
      <c r="D690" s="14" t="n">
        <f aca="false">MAX(D687,D688,D689,0)</f>
        <v>0</v>
      </c>
    </row>
    <row r="691" customFormat="false" ht="15" hidden="false" customHeight="false" outlineLevel="0" collapsed="false">
      <c r="C691" s="8" t="s">
        <v>152</v>
      </c>
      <c r="D691" s="14" t="n">
        <f aca="false">D686*Proyecto!$C$32*Referencia!$C$179</f>
        <v>0</v>
      </c>
    </row>
    <row r="692" customFormat="false" ht="15" hidden="false" customHeight="false" outlineLevel="0" collapsed="false">
      <c r="C692" s="8" t="s">
        <v>153</v>
      </c>
      <c r="D692" s="14" t="n">
        <f aca="false">D690*Proyecto!$C$32*Referencia!$C$179</f>
        <v>0</v>
      </c>
    </row>
    <row r="693" customFormat="false" ht="15" hidden="false" customHeight="false" outlineLevel="0" collapsed="false">
      <c r="C693" s="8" t="s">
        <v>154</v>
      </c>
      <c r="D693" s="14" t="n">
        <f aca="false">D683+D691</f>
        <v>0</v>
      </c>
    </row>
    <row r="694" customFormat="false" ht="15" hidden="false" customHeight="false" outlineLevel="0" collapsed="false">
      <c r="C694" s="8" t="s">
        <v>155</v>
      </c>
      <c r="D694" s="14" t="n">
        <f aca="false">D693*Proyecto!$C$39</f>
        <v>0</v>
      </c>
    </row>
    <row r="695" customFormat="false" ht="15" hidden="false" customHeight="false" outlineLevel="0" collapsed="false">
      <c r="C695" s="8" t="s">
        <v>156</v>
      </c>
      <c r="D695" s="14" t="n">
        <f aca="false">D693+D694</f>
        <v>0</v>
      </c>
    </row>
    <row r="696" customFormat="false" ht="15" hidden="false" customHeight="false" outlineLevel="0" collapsed="false">
      <c r="C696" s="8" t="s">
        <v>157</v>
      </c>
      <c r="D696" s="36" t="n">
        <f aca="false">D695+D692</f>
        <v>0</v>
      </c>
    </row>
    <row r="698" customFormat="false" ht="15" hidden="false" customHeight="false" outlineLevel="0" collapsed="false">
      <c r="C698" s="34" t="s">
        <v>158</v>
      </c>
      <c r="D698" s="37" t="n">
        <f aca="false">Referencia!C$132</f>
        <v>8</v>
      </c>
      <c r="E698" s="37" t="n">
        <f aca="false">Referencia!D$132</f>
        <v>9</v>
      </c>
      <c r="F698" s="37" t="n">
        <f aca="false">Referencia!E$132</f>
        <v>10</v>
      </c>
      <c r="G698" s="37" t="n">
        <f aca="false">Referencia!F$132</f>
        <v>11</v>
      </c>
      <c r="H698" s="37" t="n">
        <f aca="false">Referencia!G$132</f>
        <v>12</v>
      </c>
      <c r="I698" s="37" t="n">
        <f aca="false">Referencia!H$132</f>
        <v>13</v>
      </c>
      <c r="J698" s="37" t="n">
        <f aca="false">Referencia!I$132</f>
        <v>14</v>
      </c>
      <c r="K698" s="37" t="n">
        <f aca="false">Referencia!J$132</f>
        <v>15</v>
      </c>
      <c r="L698" s="37" t="n">
        <f aca="false">Referencia!K$132</f>
        <v>16</v>
      </c>
      <c r="M698" s="37" t="n">
        <f aca="false">Referencia!L$132</f>
        <v>17</v>
      </c>
      <c r="N698" s="37" t="n">
        <f aca="false">Referencia!M$132</f>
        <v>18</v>
      </c>
    </row>
    <row r="699" customFormat="false" ht="15" hidden="false" customHeight="false" outlineLevel="0" collapsed="false">
      <c r="C699" s="8" t="s">
        <v>159</v>
      </c>
      <c r="D699" s="14" t="n">
        <f aca="false">D664*SUMPRODUCT(Captura_Zonas!$H$15:$O$15,Referencia!$C$158:$J$158)</f>
        <v>0</v>
      </c>
      <c r="E699" s="14" t="n">
        <f aca="false">D664*SUMPRODUCT(Captura_Zonas!$H$15:$O$15,Referencia!$C$159:$J$159)</f>
        <v>0</v>
      </c>
      <c r="F699" s="14" t="n">
        <f aca="false">D664*SUMPRODUCT(Captura_Zonas!$H$15:$O$15,Referencia!$C$160:$J$160)</f>
        <v>0</v>
      </c>
      <c r="G699" s="14" t="n">
        <f aca="false">D664*SUMPRODUCT(Captura_Zonas!$H$15:$O$15,Referencia!$C$161:$J$161)</f>
        <v>0</v>
      </c>
      <c r="H699" s="14" t="n">
        <f aca="false">D664*SUMPRODUCT(Captura_Zonas!$H$15:$O$15,Referencia!$C$162:$J$162)</f>
        <v>0</v>
      </c>
      <c r="I699" s="14" t="n">
        <f aca="false">D664*SUMPRODUCT(Captura_Zonas!$H$15:$O$15,Referencia!$C$163:$J$163)</f>
        <v>0</v>
      </c>
      <c r="J699" s="14" t="n">
        <f aca="false">D664*SUMPRODUCT(Captura_Zonas!$H$15:$O$15,Referencia!$C$164:$J$164)</f>
        <v>0</v>
      </c>
      <c r="K699" s="14" t="n">
        <f aca="false">D664*SUMPRODUCT(Captura_Zonas!$H$15:$O$15,Referencia!$C$165:$J$165)</f>
        <v>0</v>
      </c>
      <c r="L699" s="14" t="n">
        <f aca="false">D664*SUMPRODUCT(Captura_Zonas!$H$15:$O$15,Referencia!$C$166:$J$166)</f>
        <v>0</v>
      </c>
      <c r="M699" s="14" t="n">
        <f aca="false">D664*SUMPRODUCT(Captura_Zonas!$H$15:$O$15,Referencia!$C$167:$J$167)</f>
        <v>0</v>
      </c>
      <c r="N699" s="14" t="n">
        <f aca="false">D664*SUMPRODUCT(Captura_Zonas!$H$15:$O$15,Referencia!$C$168:$J$168)</f>
        <v>0</v>
      </c>
    </row>
    <row r="700" customFormat="false" ht="15" hidden="false" customHeight="false" outlineLevel="0" collapsed="false">
      <c r="C700" s="8" t="s">
        <v>160</v>
      </c>
      <c r="D700" s="14" t="n">
        <f aca="false">D666*Captura_Zonas!P15*Referencia!C$171</f>
        <v>0</v>
      </c>
      <c r="E700" s="14" t="n">
        <f aca="false">D666*Captura_Zonas!P15*Referencia!D$171</f>
        <v>0</v>
      </c>
      <c r="F700" s="14" t="n">
        <f aca="false">D666*Captura_Zonas!P15*Referencia!E$171</f>
        <v>0</v>
      </c>
      <c r="G700" s="14" t="n">
        <f aca="false">D666*Captura_Zonas!P15*Referencia!F$171</f>
        <v>0</v>
      </c>
      <c r="H700" s="14" t="n">
        <f aca="false">D666*Captura_Zonas!P15*Referencia!G$171</f>
        <v>0</v>
      </c>
      <c r="I700" s="14" t="n">
        <f aca="false">D666*Captura_Zonas!P15*Referencia!H$171</f>
        <v>0</v>
      </c>
      <c r="J700" s="14" t="n">
        <f aca="false">D666*Captura_Zonas!P15*Referencia!I$171</f>
        <v>0</v>
      </c>
      <c r="K700" s="14" t="n">
        <f aca="false">D666*Captura_Zonas!P15*Referencia!J$171</f>
        <v>0</v>
      </c>
      <c r="L700" s="14" t="n">
        <f aca="false">D666*Captura_Zonas!P15*Referencia!K$171</f>
        <v>0</v>
      </c>
      <c r="M700" s="14" t="n">
        <f aca="false">D666*Captura_Zonas!P15*Referencia!L$171</f>
        <v>0</v>
      </c>
      <c r="N700" s="14" t="n">
        <f aca="false">D666*Captura_Zonas!P15*Referencia!M$171</f>
        <v>0</v>
      </c>
    </row>
    <row r="701" customFormat="false" ht="15" hidden="false" customHeight="false" outlineLevel="0" collapsed="false">
      <c r="C701" s="8" t="s">
        <v>161</v>
      </c>
      <c r="D701" s="14" t="n">
        <f aca="false">D668*(Captura_Zonas!S15+Captura_Zonas!T15+Captura_Zonas!U15+Captura_Zonas!V15+Captura_Zonas!W15+Captura_Zonas!X15+Captura_Zonas!Y15+Captura_Zonas!Z15)*Referencia!C$139</f>
        <v>0</v>
      </c>
      <c r="E701" s="14" t="n">
        <f aca="false">D668*(Captura_Zonas!S15+Captura_Zonas!T15+Captura_Zonas!U15+Captura_Zonas!V15+Captura_Zonas!W15+Captura_Zonas!X15+Captura_Zonas!Y15+Captura_Zonas!Z15)*Referencia!D$139</f>
        <v>0</v>
      </c>
      <c r="F701" s="14" t="n">
        <f aca="false">D668*(Captura_Zonas!S15+Captura_Zonas!T15+Captura_Zonas!U15+Captura_Zonas!V15+Captura_Zonas!W15+Captura_Zonas!X15+Captura_Zonas!Y15+Captura_Zonas!Z15)*Referencia!E$139</f>
        <v>0</v>
      </c>
      <c r="G701" s="14" t="n">
        <f aca="false">D668*(Captura_Zonas!S15+Captura_Zonas!T15+Captura_Zonas!U15+Captura_Zonas!V15+Captura_Zonas!W15+Captura_Zonas!X15+Captura_Zonas!Y15+Captura_Zonas!Z15)*Referencia!F$139</f>
        <v>0</v>
      </c>
      <c r="H701" s="14" t="n">
        <f aca="false">D668*(Captura_Zonas!S15+Captura_Zonas!T15+Captura_Zonas!U15+Captura_Zonas!V15+Captura_Zonas!W15+Captura_Zonas!X15+Captura_Zonas!Y15+Captura_Zonas!Z15)*Referencia!G$139</f>
        <v>0</v>
      </c>
      <c r="I701" s="14" t="n">
        <f aca="false">D668*(Captura_Zonas!S15+Captura_Zonas!T15+Captura_Zonas!U15+Captura_Zonas!V15+Captura_Zonas!W15+Captura_Zonas!X15+Captura_Zonas!Y15+Captura_Zonas!Z15)*Referencia!H$139</f>
        <v>0</v>
      </c>
      <c r="J701" s="14" t="n">
        <f aca="false">D668*(Captura_Zonas!S15+Captura_Zonas!T15+Captura_Zonas!U15+Captura_Zonas!V15+Captura_Zonas!W15+Captura_Zonas!X15+Captura_Zonas!Y15+Captura_Zonas!Z15)*Referencia!I$139</f>
        <v>0</v>
      </c>
      <c r="K701" s="14" t="n">
        <f aca="false">D668*(Captura_Zonas!S15+Captura_Zonas!T15+Captura_Zonas!U15+Captura_Zonas!V15+Captura_Zonas!W15+Captura_Zonas!X15+Captura_Zonas!Y15+Captura_Zonas!Z15)*Referencia!J$139</f>
        <v>0</v>
      </c>
      <c r="L701" s="14" t="n">
        <f aca="false">D668*(Captura_Zonas!S15+Captura_Zonas!T15+Captura_Zonas!U15+Captura_Zonas!V15+Captura_Zonas!W15+Captura_Zonas!X15+Captura_Zonas!Y15+Captura_Zonas!Z15)*Referencia!K$139</f>
        <v>0</v>
      </c>
      <c r="M701" s="14" t="n">
        <f aca="false">D668*(Captura_Zonas!S15+Captura_Zonas!T15+Captura_Zonas!U15+Captura_Zonas!V15+Captura_Zonas!W15+Captura_Zonas!X15+Captura_Zonas!Y15+Captura_Zonas!Z15)*Referencia!L$139</f>
        <v>0</v>
      </c>
      <c r="N701" s="14" t="n">
        <f aca="false">D668*(Captura_Zonas!S15+Captura_Zonas!T15+Captura_Zonas!U15+Captura_Zonas!V15+Captura_Zonas!W15+Captura_Zonas!X15+Captura_Zonas!Y15+Captura_Zonas!Z15)*Referencia!M$139</f>
        <v>0</v>
      </c>
    </row>
    <row r="702" customFormat="false" ht="15" hidden="false" customHeight="false" outlineLevel="0" collapsed="false">
      <c r="C702" s="8" t="s">
        <v>162</v>
      </c>
      <c r="D702" s="14" t="n">
        <f aca="false">D669*D674*SUMPRODUCT(Captura_Zonas!$S$15:$Z$15,Referencia!$C$111:$J$111,Referencia!$C$119:$J$119)</f>
        <v>0</v>
      </c>
      <c r="E702" s="14" t="n">
        <f aca="false">D669*D674*SUMPRODUCT(Captura_Zonas!$S$15:$Z$15,Referencia!$C$111:$J$111,Referencia!$C$120:$J$120)</f>
        <v>0</v>
      </c>
      <c r="F702" s="14" t="n">
        <f aca="false">D669*D674*SUMPRODUCT(Captura_Zonas!$S$15:$Z$15,Referencia!$C$111:$J$111,Referencia!$C$121:$J$121)</f>
        <v>0</v>
      </c>
      <c r="G702" s="14" t="n">
        <f aca="false">D669*D674*SUMPRODUCT(Captura_Zonas!$S$15:$Z$15,Referencia!$C$111:$J$111,Referencia!$C$122:$J$122)</f>
        <v>0</v>
      </c>
      <c r="H702" s="14" t="n">
        <f aca="false">D669*D674*SUMPRODUCT(Captura_Zonas!$S$15:$Z$15,Referencia!$C$111:$J$111,Referencia!$C$123:$J$123)</f>
        <v>0</v>
      </c>
      <c r="I702" s="14" t="n">
        <f aca="false">D669*D674*SUMPRODUCT(Captura_Zonas!$S$15:$Z$15,Referencia!$C$111:$J$111,Referencia!$C$124:$J$124)</f>
        <v>0</v>
      </c>
      <c r="J702" s="14" t="n">
        <f aca="false">D669*D674*SUMPRODUCT(Captura_Zonas!$S$15:$Z$15,Referencia!$C$111:$J$111,Referencia!$C$125:$J$125)</f>
        <v>0</v>
      </c>
      <c r="K702" s="14" t="n">
        <f aca="false">D669*D674*SUMPRODUCT(Captura_Zonas!$S$15:$Z$15,Referencia!$C$111:$J$111,Referencia!$C$126:$J$126)</f>
        <v>0</v>
      </c>
      <c r="L702" s="14" t="n">
        <f aca="false">D669*D674*SUMPRODUCT(Captura_Zonas!$S$15:$Z$15,Referencia!$C$111:$J$111,Referencia!$C$127:$J$127)</f>
        <v>0</v>
      </c>
      <c r="M702" s="14" t="n">
        <f aca="false">D669*D674*SUMPRODUCT(Captura_Zonas!$S$15:$Z$15,Referencia!$C$111:$J$111,Referencia!$C$128:$J$128)</f>
        <v>0</v>
      </c>
      <c r="N702" s="14" t="n">
        <f aca="false">D669*D674*SUMPRODUCT(Captura_Zonas!$S$15:$Z$15,Referencia!$C$111:$J$111,Referencia!$C$129:$J$129)</f>
        <v>0</v>
      </c>
    </row>
    <row r="703" customFormat="false" ht="15" hidden="false" customHeight="false" outlineLevel="0" collapsed="false">
      <c r="C703" s="8" t="s">
        <v>163</v>
      </c>
      <c r="D703" s="14" t="n">
        <f aca="false">D654*Proyecto!$C$52*Proyecto!$C$51*MAX(3,Referencia!C$139*0.35)</f>
        <v>0</v>
      </c>
      <c r="E703" s="14" t="n">
        <f aca="false">D654*Proyecto!$C$52*Proyecto!$C$51*MAX(3,Referencia!D$139*0.35)</f>
        <v>0</v>
      </c>
      <c r="F703" s="14" t="n">
        <f aca="false">D654*Proyecto!$C$52*Proyecto!$C$51*MAX(3,Referencia!E$139*0.35)</f>
        <v>0</v>
      </c>
      <c r="G703" s="14" t="n">
        <f aca="false">D654*Proyecto!$C$52*Proyecto!$C$51*MAX(3,Referencia!F$139*0.35)</f>
        <v>0</v>
      </c>
      <c r="H703" s="14" t="n">
        <f aca="false">D654*Proyecto!$C$52*Proyecto!$C$51*MAX(3,Referencia!G$139*0.35)</f>
        <v>0</v>
      </c>
      <c r="I703" s="14" t="n">
        <f aca="false">D654*Proyecto!$C$52*Proyecto!$C$51*MAX(3,Referencia!H$139*0.35)</f>
        <v>0</v>
      </c>
      <c r="J703" s="14" t="n">
        <f aca="false">D654*Proyecto!$C$52*Proyecto!$C$51*MAX(3,Referencia!I$139*0.35)</f>
        <v>0</v>
      </c>
      <c r="K703" s="14" t="n">
        <f aca="false">D654*Proyecto!$C$52*Proyecto!$C$51*MAX(3,Referencia!J$139*0.35)</f>
        <v>0</v>
      </c>
      <c r="L703" s="14" t="n">
        <f aca="false">D654*Proyecto!$C$52*Proyecto!$C$51*MAX(3,Referencia!K$139*0.35)</f>
        <v>0</v>
      </c>
      <c r="M703" s="14" t="n">
        <f aca="false">D654*Proyecto!$C$52*Proyecto!$C$51*MAX(3,Referencia!L$139*0.35)</f>
        <v>0</v>
      </c>
      <c r="N703" s="14" t="n">
        <f aca="false">D654*Proyecto!$C$52*Proyecto!$C$51*MAX(3,Referencia!M$139*0.35)</f>
        <v>0</v>
      </c>
    </row>
    <row r="704" customFormat="false" ht="15" hidden="false" customHeight="false" outlineLevel="0" collapsed="false">
      <c r="C704" s="8" t="s">
        <v>164</v>
      </c>
      <c r="D704" s="14" t="n">
        <f aca="false">IF(Captura_Zonas!P15&lt;=0,D654*Proyecto!$C$54*Proyecto!$C$53*MAX(2,Referencia!C$139*0.25),0)</f>
        <v>0</v>
      </c>
      <c r="E704" s="14" t="n">
        <f aca="false">IF(Captura_Zonas!P15&lt;=0,D654*Proyecto!$C$54*Proyecto!$C$53*MAX(2,Referencia!D$139*0.25),0)</f>
        <v>0</v>
      </c>
      <c r="F704" s="14" t="n">
        <f aca="false">IF(Captura_Zonas!P15&lt;=0,D654*Proyecto!$C$54*Proyecto!$C$53*MAX(2,Referencia!E$139*0.25),0)</f>
        <v>0</v>
      </c>
      <c r="G704" s="14" t="n">
        <f aca="false">IF(Captura_Zonas!P15&lt;=0,D654*Proyecto!$C$54*Proyecto!$C$53*MAX(2,Referencia!F$139*0.25),0)</f>
        <v>0</v>
      </c>
      <c r="H704" s="14" t="n">
        <f aca="false">IF(Captura_Zonas!P15&lt;=0,D654*Proyecto!$C$54*Proyecto!$C$53*MAX(2,Referencia!G$139*0.25),0)</f>
        <v>0</v>
      </c>
      <c r="I704" s="14" t="n">
        <f aca="false">IF(Captura_Zonas!P15&lt;=0,D654*Proyecto!$C$54*Proyecto!$C$53*MAX(2,Referencia!H$139*0.25),0)</f>
        <v>0</v>
      </c>
      <c r="J704" s="14" t="n">
        <f aca="false">IF(Captura_Zonas!P15&lt;=0,D654*Proyecto!$C$54*Proyecto!$C$53*MAX(2,Referencia!I$139*0.25),0)</f>
        <v>0</v>
      </c>
      <c r="K704" s="14" t="n">
        <f aca="false">IF(Captura_Zonas!P15&lt;=0,D654*Proyecto!$C$54*Proyecto!$C$53*MAX(2,Referencia!J$139*0.25),0)</f>
        <v>0</v>
      </c>
      <c r="L704" s="14" t="n">
        <f aca="false">IF(Captura_Zonas!P15&lt;=0,D654*Proyecto!$C$54*Proyecto!$C$53*MAX(2,Referencia!K$139*0.25),0)</f>
        <v>0</v>
      </c>
      <c r="M704" s="14" t="n">
        <f aca="false">IF(Captura_Zonas!P15&lt;=0,D654*Proyecto!$C$54*Proyecto!$C$53*MAX(2,Referencia!L$139*0.25),0)</f>
        <v>0</v>
      </c>
      <c r="N704" s="14" t="n">
        <f aca="false">IF(Captura_Zonas!P15&lt;=0,D654*Proyecto!$C$54*Proyecto!$C$53*MAX(2,Referencia!M$139*0.25),0)</f>
        <v>0</v>
      </c>
    </row>
    <row r="705" customFormat="false" ht="15" hidden="false" customHeight="false" outlineLevel="0" collapsed="false">
      <c r="C705" s="8" t="s">
        <v>165</v>
      </c>
      <c r="D705" s="14" t="n">
        <f aca="false">D686*Proyecto!$C$31*Referencia!C$139</f>
        <v>0</v>
      </c>
      <c r="E705" s="14" t="n">
        <f aca="false">D686*Proyecto!$C$31*Referencia!D$139</f>
        <v>0</v>
      </c>
      <c r="F705" s="14" t="n">
        <f aca="false">D686*Proyecto!$C$31*Referencia!E$139</f>
        <v>0</v>
      </c>
      <c r="G705" s="14" t="n">
        <f aca="false">D686*Proyecto!$C$31*Referencia!F$139</f>
        <v>0</v>
      </c>
      <c r="H705" s="14" t="n">
        <f aca="false">D686*Proyecto!$C$31*Referencia!G$139</f>
        <v>0</v>
      </c>
      <c r="I705" s="14" t="n">
        <f aca="false">D686*Proyecto!$C$31*Referencia!H$139</f>
        <v>0</v>
      </c>
      <c r="J705" s="14" t="n">
        <f aca="false">D686*Proyecto!$C$31*Referencia!I$139</f>
        <v>0</v>
      </c>
      <c r="K705" s="14" t="n">
        <f aca="false">D686*Proyecto!$C$31*Referencia!J$139</f>
        <v>0</v>
      </c>
      <c r="L705" s="14" t="n">
        <f aca="false">D686*Proyecto!$C$31*Referencia!K$139</f>
        <v>0</v>
      </c>
      <c r="M705" s="14" t="n">
        <f aca="false">D686*Proyecto!$C$31*Referencia!L$139</f>
        <v>0</v>
      </c>
      <c r="N705" s="14" t="n">
        <f aca="false">D686*Proyecto!$C$31*Referencia!M$139</f>
        <v>0</v>
      </c>
    </row>
    <row r="706" customFormat="false" ht="15" hidden="false" customHeight="false" outlineLevel="0" collapsed="false">
      <c r="C706" s="8" t="s">
        <v>166</v>
      </c>
      <c r="D706" s="14" t="n">
        <f aca="false">D690*Proyecto!$C$31*Referencia!C$139</f>
        <v>0</v>
      </c>
      <c r="E706" s="14" t="n">
        <f aca="false">D690*Proyecto!$C$31*Referencia!D$139</f>
        <v>0</v>
      </c>
      <c r="F706" s="14" t="n">
        <f aca="false">D690*Proyecto!$C$31*Referencia!E$139</f>
        <v>0</v>
      </c>
      <c r="G706" s="14" t="n">
        <f aca="false">D690*Proyecto!$C$31*Referencia!F$139</f>
        <v>0</v>
      </c>
      <c r="H706" s="14" t="n">
        <f aca="false">D690*Proyecto!$C$31*Referencia!G$139</f>
        <v>0</v>
      </c>
      <c r="I706" s="14" t="n">
        <f aca="false">D690*Proyecto!$C$31*Referencia!H$139</f>
        <v>0</v>
      </c>
      <c r="J706" s="14" t="n">
        <f aca="false">D690*Proyecto!$C$31*Referencia!I$139</f>
        <v>0</v>
      </c>
      <c r="K706" s="14" t="n">
        <f aca="false">D690*Proyecto!$C$31*Referencia!J$139</f>
        <v>0</v>
      </c>
      <c r="L706" s="14" t="n">
        <f aca="false">D690*Proyecto!$C$31*Referencia!K$139</f>
        <v>0</v>
      </c>
      <c r="M706" s="14" t="n">
        <f aca="false">D690*Proyecto!$C$31*Referencia!L$139</f>
        <v>0</v>
      </c>
      <c r="N706" s="14" t="n">
        <f aca="false">D690*Proyecto!$C$31*Referencia!M$139</f>
        <v>0</v>
      </c>
    </row>
    <row r="707" customFormat="false" ht="15" hidden="false" customHeight="false" outlineLevel="0" collapsed="false">
      <c r="C707" s="8" t="s">
        <v>167</v>
      </c>
      <c r="D707" s="14" t="n">
        <f aca="false">D699+D700+D701+D702+D703+D704+$D$682+$D$684+$D$685+D705</f>
        <v>0</v>
      </c>
      <c r="E707" s="14" t="n">
        <f aca="false">E699+E700+E701+E702+E703+E704+$D$682+$D$684+$D$685+E705</f>
        <v>0</v>
      </c>
      <c r="F707" s="14" t="n">
        <f aca="false">F699+F700+F701+F702+F703+F704+$D$682+$D$684+$D$685+F705</f>
        <v>0</v>
      </c>
      <c r="G707" s="14" t="n">
        <f aca="false">G699+G700+G701+G702+G703+G704+$D$682+$D$684+$D$685+G705</f>
        <v>0</v>
      </c>
      <c r="H707" s="14" t="n">
        <f aca="false">H699+H700+H701+H702+H703+H704+$D$682+$D$684+$D$685+H705</f>
        <v>0</v>
      </c>
      <c r="I707" s="14" t="n">
        <f aca="false">I699+I700+I701+I702+I703+I704+$D$682+$D$684+$D$685+I705</f>
        <v>0</v>
      </c>
      <c r="J707" s="14" t="n">
        <f aca="false">J699+J700+J701+J702+J703+J704+$D$682+$D$684+$D$685+J705</f>
        <v>0</v>
      </c>
      <c r="K707" s="14" t="n">
        <f aca="false">K699+K700+K701+K702+K703+K704+$D$682+$D$684+$D$685+K705</f>
        <v>0</v>
      </c>
      <c r="L707" s="14" t="n">
        <f aca="false">L699+L700+L701+L702+L703+L704+$D$682+$D$684+$D$685+L705</f>
        <v>0</v>
      </c>
      <c r="M707" s="14" t="n">
        <f aca="false">M699+M700+M701+M702+M703+M704+$D$682+$D$684+$D$685+M705</f>
        <v>0</v>
      </c>
      <c r="N707" s="14" t="n">
        <f aca="false">N699+N700+N701+N702+N703+N704+$D$682+$D$684+$D$685+N705</f>
        <v>0</v>
      </c>
    </row>
    <row r="708" customFormat="false" ht="15" hidden="false" customHeight="false" outlineLevel="0" collapsed="false">
      <c r="C708" s="8" t="s">
        <v>168</v>
      </c>
      <c r="D708" s="14" t="n">
        <f aca="false">D707*Proyecto!$C$42</f>
        <v>0</v>
      </c>
      <c r="E708" s="14" t="n">
        <f aca="false">E707*Proyecto!$C$42</f>
        <v>0</v>
      </c>
      <c r="F708" s="14" t="n">
        <f aca="false">F707*Proyecto!$C$42</f>
        <v>0</v>
      </c>
      <c r="G708" s="14" t="n">
        <f aca="false">G707*Proyecto!$C$42</f>
        <v>0</v>
      </c>
      <c r="H708" s="14" t="n">
        <f aca="false">H707*Proyecto!$C$42</f>
        <v>0</v>
      </c>
      <c r="I708" s="14" t="n">
        <f aca="false">I707*Proyecto!$C$42</f>
        <v>0</v>
      </c>
      <c r="J708" s="14" t="n">
        <f aca="false">J707*Proyecto!$C$42</f>
        <v>0</v>
      </c>
      <c r="K708" s="14" t="n">
        <f aca="false">K707*Proyecto!$C$42</f>
        <v>0</v>
      </c>
      <c r="L708" s="14" t="n">
        <f aca="false">L707*Proyecto!$C$42</f>
        <v>0</v>
      </c>
      <c r="M708" s="14" t="n">
        <f aca="false">M707*Proyecto!$C$42</f>
        <v>0</v>
      </c>
      <c r="N708" s="14" t="n">
        <f aca="false">N707*Proyecto!$C$42</f>
        <v>0</v>
      </c>
    </row>
    <row r="709" customFormat="false" ht="15" hidden="false" customHeight="false" outlineLevel="0" collapsed="false">
      <c r="C709" s="8" t="s">
        <v>169</v>
      </c>
      <c r="D709" s="14" t="n">
        <f aca="false">D707*Proyecto!$C$43</f>
        <v>0</v>
      </c>
      <c r="E709" s="14" t="n">
        <f aca="false">E707*Proyecto!$C$43</f>
        <v>0</v>
      </c>
      <c r="F709" s="14" t="n">
        <f aca="false">F707*Proyecto!$C$43</f>
        <v>0</v>
      </c>
      <c r="G709" s="14" t="n">
        <f aca="false">G707*Proyecto!$C$43</f>
        <v>0</v>
      </c>
      <c r="H709" s="14" t="n">
        <f aca="false">H707*Proyecto!$C$43</f>
        <v>0</v>
      </c>
      <c r="I709" s="14" t="n">
        <f aca="false">I707*Proyecto!$C$43</f>
        <v>0</v>
      </c>
      <c r="J709" s="14" t="n">
        <f aca="false">J707*Proyecto!$C$43</f>
        <v>0</v>
      </c>
      <c r="K709" s="14" t="n">
        <f aca="false">K707*Proyecto!$C$43</f>
        <v>0</v>
      </c>
      <c r="L709" s="14" t="n">
        <f aca="false">L707*Proyecto!$C$43</f>
        <v>0</v>
      </c>
      <c r="M709" s="14" t="n">
        <f aca="false">M707*Proyecto!$C$43</f>
        <v>0</v>
      </c>
      <c r="N709" s="14" t="n">
        <f aca="false">N707*Proyecto!$C$43</f>
        <v>0</v>
      </c>
    </row>
    <row r="710" customFormat="false" ht="15" hidden="false" customHeight="false" outlineLevel="0" collapsed="false">
      <c r="C710" s="8" t="s">
        <v>170</v>
      </c>
      <c r="D710" s="14" t="n">
        <f aca="false">(D707+D708+D709)*Proyecto!$C$39</f>
        <v>0</v>
      </c>
      <c r="E710" s="14" t="n">
        <f aca="false">(E707+E708+E709)*Proyecto!$C$39</f>
        <v>0</v>
      </c>
      <c r="F710" s="14" t="n">
        <f aca="false">(F707+F708+F709)*Proyecto!$C$39</f>
        <v>0</v>
      </c>
      <c r="G710" s="14" t="n">
        <f aca="false">(G707+G708+G709)*Proyecto!$C$39</f>
        <v>0</v>
      </c>
      <c r="H710" s="14" t="n">
        <f aca="false">(H707+H708+H709)*Proyecto!$C$39</f>
        <v>0</v>
      </c>
      <c r="I710" s="14" t="n">
        <f aca="false">(I707+I708+I709)*Proyecto!$C$39</f>
        <v>0</v>
      </c>
      <c r="J710" s="14" t="n">
        <f aca="false">(J707+J708+J709)*Proyecto!$C$39</f>
        <v>0</v>
      </c>
      <c r="K710" s="14" t="n">
        <f aca="false">(K707+K708+K709)*Proyecto!$C$39</f>
        <v>0</v>
      </c>
      <c r="L710" s="14" t="n">
        <f aca="false">(L707+L708+L709)*Proyecto!$C$39</f>
        <v>0</v>
      </c>
      <c r="M710" s="14" t="n">
        <f aca="false">(M707+M708+M709)*Proyecto!$C$39</f>
        <v>0</v>
      </c>
      <c r="N710" s="14" t="n">
        <f aca="false">(N707+N708+N709)*Proyecto!$C$39</f>
        <v>0</v>
      </c>
    </row>
    <row r="711" customFormat="false" ht="15" hidden="false" customHeight="false" outlineLevel="0" collapsed="false">
      <c r="C711" s="8" t="s">
        <v>171</v>
      </c>
      <c r="D711" s="14" t="n">
        <f aca="false">D707+D708+D709+D710</f>
        <v>0</v>
      </c>
      <c r="E711" s="14" t="n">
        <f aca="false">E707+E708+E709+E710</f>
        <v>0</v>
      </c>
      <c r="F711" s="14" t="n">
        <f aca="false">F707+F708+F709+F710</f>
        <v>0</v>
      </c>
      <c r="G711" s="14" t="n">
        <f aca="false">G707+G708+G709+G710</f>
        <v>0</v>
      </c>
      <c r="H711" s="14" t="n">
        <f aca="false">H707+H708+H709+H710</f>
        <v>0</v>
      </c>
      <c r="I711" s="14" t="n">
        <f aca="false">I707+I708+I709+I710</f>
        <v>0</v>
      </c>
      <c r="J711" s="14" t="n">
        <f aca="false">J707+J708+J709+J710</f>
        <v>0</v>
      </c>
      <c r="K711" s="14" t="n">
        <f aca="false">K707+K708+K709+K710</f>
        <v>0</v>
      </c>
      <c r="L711" s="14" t="n">
        <f aca="false">L707+L708+L709+L710</f>
        <v>0</v>
      </c>
      <c r="M711" s="14" t="n">
        <f aca="false">M707+M708+M709+M710</f>
        <v>0</v>
      </c>
      <c r="N711" s="14" t="n">
        <f aca="false">N707+N708+N709+N710</f>
        <v>0</v>
      </c>
    </row>
    <row r="712" customFormat="false" ht="15" hidden="false" customHeight="false" outlineLevel="0" collapsed="false">
      <c r="C712" s="8" t="s">
        <v>172</v>
      </c>
      <c r="D712" s="14" t="n">
        <f aca="false">D711+D706</f>
        <v>0</v>
      </c>
      <c r="E712" s="14" t="n">
        <f aca="false">E711+E706</f>
        <v>0</v>
      </c>
      <c r="F712" s="14" t="n">
        <f aca="false">F711+F706</f>
        <v>0</v>
      </c>
      <c r="G712" s="14" t="n">
        <f aca="false">G711+G706</f>
        <v>0</v>
      </c>
      <c r="H712" s="14" t="n">
        <f aca="false">H711+H706</f>
        <v>0</v>
      </c>
      <c r="I712" s="14" t="n">
        <f aca="false">I711+I706</f>
        <v>0</v>
      </c>
      <c r="J712" s="14" t="n">
        <f aca="false">J711+J706</f>
        <v>0</v>
      </c>
      <c r="K712" s="14" t="n">
        <f aca="false">K711+K706</f>
        <v>0</v>
      </c>
      <c r="L712" s="14" t="n">
        <f aca="false">L711+L706</f>
        <v>0</v>
      </c>
      <c r="M712" s="14" t="n">
        <f aca="false">M711+M706</f>
        <v>0</v>
      </c>
      <c r="N712" s="14" t="n">
        <f aca="false">N711+N706</f>
        <v>0</v>
      </c>
    </row>
    <row r="713" customFormat="false" ht="15" hidden="false" customHeight="false" outlineLevel="0" collapsed="false">
      <c r="C713" s="38" t="s">
        <v>173</v>
      </c>
      <c r="D713" s="36" t="n">
        <f aca="false">D712+$D$696</f>
        <v>0</v>
      </c>
      <c r="E713" s="36" t="n">
        <f aca="false">E712+$D$696</f>
        <v>0</v>
      </c>
      <c r="F713" s="36" t="n">
        <f aca="false">F712+$D$696</f>
        <v>0</v>
      </c>
      <c r="G713" s="36" t="n">
        <f aca="false">G712+$D$696</f>
        <v>0</v>
      </c>
      <c r="H713" s="36" t="n">
        <f aca="false">H712+$D$696</f>
        <v>0</v>
      </c>
      <c r="I713" s="36" t="n">
        <f aca="false">I712+$D$696</f>
        <v>0</v>
      </c>
      <c r="J713" s="36" t="n">
        <f aca="false">J712+$D$696</f>
        <v>0</v>
      </c>
      <c r="K713" s="36" t="n">
        <f aca="false">K712+$D$696</f>
        <v>0</v>
      </c>
      <c r="L713" s="36" t="n">
        <f aca="false">L712+$D$696</f>
        <v>0</v>
      </c>
      <c r="M713" s="36" t="n">
        <f aca="false">M712+$D$696</f>
        <v>0</v>
      </c>
      <c r="N713" s="36" t="n">
        <f aca="false">N712+$D$696</f>
        <v>0</v>
      </c>
    </row>
    <row r="714" customFormat="false" ht="15" hidden="false" customHeight="false" outlineLevel="0" collapsed="false">
      <c r="C714" s="8" t="s">
        <v>174</v>
      </c>
      <c r="D714" s="15" t="n">
        <f aca="false">D713/Proyecto!$C$48</f>
        <v>0</v>
      </c>
      <c r="E714" s="15" t="n">
        <f aca="false">E713/Proyecto!$C$48</f>
        <v>0</v>
      </c>
      <c r="F714" s="15" t="n">
        <f aca="false">F713/Proyecto!$C$48</f>
        <v>0</v>
      </c>
      <c r="G714" s="15" t="n">
        <f aca="false">G713/Proyecto!$C$48</f>
        <v>0</v>
      </c>
      <c r="H714" s="15" t="n">
        <f aca="false">H713/Proyecto!$C$48</f>
        <v>0</v>
      </c>
      <c r="I714" s="15" t="n">
        <f aca="false">I713/Proyecto!$C$48</f>
        <v>0</v>
      </c>
      <c r="J714" s="15" t="n">
        <f aca="false">J713/Proyecto!$C$48</f>
        <v>0</v>
      </c>
      <c r="K714" s="15" t="n">
        <f aca="false">K713/Proyecto!$C$48</f>
        <v>0</v>
      </c>
      <c r="L714" s="15" t="n">
        <f aca="false">L713/Proyecto!$C$48</f>
        <v>0</v>
      </c>
      <c r="M714" s="15" t="n">
        <f aca="false">M713/Proyecto!$C$48</f>
        <v>0</v>
      </c>
      <c r="N714" s="15" t="n">
        <f aca="false">N713/Proyecto!$C$48</f>
        <v>0</v>
      </c>
    </row>
    <row r="716" customFormat="false" ht="15" hidden="false" customHeight="false" outlineLevel="0" collapsed="false">
      <c r="C716" s="8" t="s">
        <v>175</v>
      </c>
      <c r="D716" s="36" t="n">
        <f aca="false">MAX(D713:N713)</f>
        <v>0</v>
      </c>
    </row>
    <row r="717" customFormat="false" ht="15" hidden="false" customHeight="false" outlineLevel="0" collapsed="false">
      <c r="C717" s="8" t="s">
        <v>176</v>
      </c>
      <c r="D717" s="14" t="n">
        <f aca="false">INDEX(D698:N698,MATCH(D716,D713:N713,0))</f>
        <v>8</v>
      </c>
    </row>
    <row r="718" customFormat="false" ht="15" hidden="false" customHeight="false" outlineLevel="0" collapsed="false">
      <c r="C718" s="8" t="s">
        <v>177</v>
      </c>
      <c r="D718" s="14" t="n">
        <f aca="false">INDEX(D711:N711,MATCH(D716,D713:N713,0))</f>
        <v>0</v>
      </c>
    </row>
    <row r="719" customFormat="false" ht="15" hidden="false" customHeight="false" outlineLevel="0" collapsed="false">
      <c r="C719" s="8" t="s">
        <v>178</v>
      </c>
      <c r="D719" s="14" t="n">
        <f aca="false">INDEX(D712:N712,MATCH(D716,D713:N713,0))</f>
        <v>0</v>
      </c>
    </row>
    <row r="720" customFormat="false" ht="15" hidden="false" customHeight="false" outlineLevel="0" collapsed="false">
      <c r="C720" s="8" t="s">
        <v>179</v>
      </c>
      <c r="D720" s="15" t="n">
        <f aca="false">D716/Proyecto!$C$48</f>
        <v>0</v>
      </c>
    </row>
    <row r="721" customFormat="false" ht="15" hidden="false" customHeight="false" outlineLevel="0" collapsed="false">
      <c r="C721" s="8" t="s">
        <v>180</v>
      </c>
      <c r="D721" s="15" t="n">
        <f aca="false">D716/1000</f>
        <v>0</v>
      </c>
    </row>
    <row r="722" customFormat="false" ht="15" hidden="false" customHeight="false" outlineLevel="0" collapsed="false">
      <c r="C722" s="8" t="s">
        <v>181</v>
      </c>
      <c r="D722" s="14" t="n">
        <f aca="false">(D718/(Proyecto!$C$31*Proyecto!$C$41))/1.699</f>
        <v>0</v>
      </c>
    </row>
    <row r="725" customFormat="false" ht="15" hidden="false" customHeight="false" outlineLevel="0" collapsed="false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</row>
    <row r="726" customFormat="false" ht="15" hidden="false" customHeight="false" outlineLevel="0" collapsed="false">
      <c r="C726" s="23" t="s">
        <v>55</v>
      </c>
      <c r="D726" s="33" t="s">
        <v>113</v>
      </c>
      <c r="E726" s="33"/>
      <c r="F726" s="33"/>
      <c r="G726" s="33"/>
      <c r="H726" s="33"/>
      <c r="I726" s="33"/>
      <c r="J726" s="33"/>
      <c r="K726" s="33"/>
      <c r="L726" s="33"/>
      <c r="M726" s="33"/>
      <c r="N726" s="24" t="s">
        <v>182</v>
      </c>
    </row>
  </sheetData>
  <mergeCells count="14">
    <mergeCell ref="C2:N2"/>
    <mergeCell ref="C3:N3"/>
    <mergeCell ref="C4:N4"/>
    <mergeCell ref="C5:N5"/>
    <mergeCell ref="C77:N77"/>
    <mergeCell ref="C149:N149"/>
    <mergeCell ref="C221:N221"/>
    <mergeCell ref="C293:N293"/>
    <mergeCell ref="C365:N365"/>
    <mergeCell ref="C437:N437"/>
    <mergeCell ref="C509:N509"/>
    <mergeCell ref="C581:N581"/>
    <mergeCell ref="C653:N653"/>
    <mergeCell ref="D726:M726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8C26"/>
    <pageSetUpPr fitToPage="true"/>
  </sheetPr>
  <dimension ref="B2:I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8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9" min="3" style="0" width="13"/>
  </cols>
  <sheetData>
    <row r="2" customFormat="false" ht="15" hidden="false" customHeight="false" outlineLevel="0" collapsed="false">
      <c r="B2" s="1" t="s">
        <v>183</v>
      </c>
      <c r="C2" s="1"/>
      <c r="D2" s="1"/>
      <c r="E2" s="1"/>
      <c r="F2" s="1"/>
      <c r="G2" s="1"/>
      <c r="H2" s="1"/>
      <c r="I2" s="1"/>
    </row>
    <row r="3" customFormat="false" ht="17.35" hidden="false" customHeight="false" outlineLevel="0" collapsed="false">
      <c r="B3" s="2" t="s">
        <v>184</v>
      </c>
      <c r="C3" s="2"/>
      <c r="D3" s="2"/>
      <c r="E3" s="2"/>
      <c r="F3" s="2"/>
      <c r="G3" s="2"/>
      <c r="H3" s="2"/>
      <c r="I3" s="2"/>
    </row>
    <row r="4" customFormat="false" ht="22.35" hidden="false" customHeight="true" outlineLevel="0" collapsed="false">
      <c r="B4" s="3" t="s">
        <v>185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4" t="s">
        <v>186</v>
      </c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B6" s="39" t="s">
        <v>9</v>
      </c>
      <c r="C6" s="40" t="str">
        <f aca="false">Proyecto!C11&amp;""</f>
        <v>Proyecto sin nombre</v>
      </c>
      <c r="D6" s="40"/>
      <c r="E6" s="40"/>
      <c r="G6" s="41" t="s">
        <v>187</v>
      </c>
      <c r="H6" s="41"/>
      <c r="I6" s="41"/>
    </row>
    <row r="7" customFormat="false" ht="15" hidden="false" customHeight="false" outlineLevel="0" collapsed="false">
      <c r="B7" s="39" t="s">
        <v>11</v>
      </c>
      <c r="C7" s="40" t="str">
        <f aca="false">Proyecto!C12&amp;""</f>
        <v/>
      </c>
      <c r="D7" s="40"/>
      <c r="E7" s="40"/>
      <c r="G7" s="42" t="str">
        <f aca="false">TEXT(H29,"0.00")&amp;" TR"</f>
        <v>0.00 TR</v>
      </c>
      <c r="H7" s="42"/>
      <c r="I7" s="42"/>
    </row>
    <row r="8" customFormat="false" ht="15" hidden="false" customHeight="false" outlineLevel="0" collapsed="false">
      <c r="B8" s="39" t="s">
        <v>12</v>
      </c>
      <c r="C8" s="40" t="str">
        <f aca="false">Proyecto!C13&amp;""</f>
        <v>Tijuana, B.C.</v>
      </c>
      <c r="D8" s="40"/>
      <c r="E8" s="40"/>
      <c r="G8" s="42"/>
      <c r="H8" s="42"/>
      <c r="I8" s="42"/>
    </row>
    <row r="9" customFormat="false" ht="15" hidden="false" customHeight="false" outlineLevel="0" collapsed="false">
      <c r="B9" s="39" t="s">
        <v>14</v>
      </c>
      <c r="C9" s="40" t="str">
        <f aca="false">Proyecto!C14&amp;""</f>
        <v>Ing. Rodrigo Nuñez Loubet</v>
      </c>
      <c r="D9" s="40"/>
      <c r="E9" s="40"/>
      <c r="G9" s="43" t="str">
        <f aca="false">TEXT(G29,"0.00")&amp;" kW totales (sensible + latente)"</f>
        <v>0.00 kW totales (sensible + latente)</v>
      </c>
      <c r="H9" s="43"/>
      <c r="I9" s="43"/>
    </row>
    <row r="10" customFormat="false" ht="15" hidden="false" customHeight="false" outlineLevel="0" collapsed="false">
      <c r="B10" s="39" t="s">
        <v>16</v>
      </c>
      <c r="C10" s="44" t="n">
        <f aca="false">Proyecto!C15</f>
        <v>46282</v>
      </c>
      <c r="D10" s="44"/>
      <c r="E10" s="44"/>
      <c r="G10" s="43" t="str">
        <f aca="false">TEXT(I29,"#,##0")&amp;" CFM de suministro"</f>
        <v>0 CFM de suministro</v>
      </c>
      <c r="H10" s="43"/>
      <c r="I10" s="43"/>
    </row>
    <row r="11" customFormat="false" ht="15" hidden="false" customHeight="false" outlineLevel="0" collapsed="false">
      <c r="B11" s="39" t="s">
        <v>188</v>
      </c>
      <c r="C11" s="40" t="str">
        <f aca="false">Proyecto!C19&amp;""</f>
        <v>Tijuana</v>
      </c>
      <c r="D11" s="40"/>
      <c r="E11" s="40"/>
      <c r="G11" s="45"/>
      <c r="H11" s="46"/>
      <c r="I11" s="47"/>
    </row>
    <row r="12" customFormat="false" ht="15" hidden="false" customHeight="false" outlineLevel="0" collapsed="false">
      <c r="B12" s="39" t="s">
        <v>189</v>
      </c>
      <c r="C12" s="40" t="str">
        <f aca="false">Proyecto!$C$25&amp;" °C DB · "&amp;Proyecto!$C$26&amp;" °C WB · "&amp;Proyecto!$C$27&amp;" m"</f>
        <v>35 °C DB · 24 °C WB · 0 m</v>
      </c>
      <c r="D12" s="40"/>
      <c r="E12" s="40"/>
      <c r="G12" s="45"/>
      <c r="H12" s="46"/>
      <c r="I12" s="47"/>
    </row>
    <row r="13" customFormat="false" ht="15" hidden="false" customHeight="false" outlineLevel="0" collapsed="false">
      <c r="B13" s="39" t="s">
        <v>190</v>
      </c>
      <c r="C13" s="48" t="s">
        <v>191</v>
      </c>
      <c r="D13" s="48"/>
      <c r="E13" s="48"/>
      <c r="G13" s="45"/>
      <c r="H13" s="46"/>
      <c r="I13" s="47"/>
    </row>
    <row r="14" customFormat="false" ht="15" hidden="false" customHeight="false" outlineLevel="0" collapsed="false">
      <c r="B14" s="39" t="s">
        <v>192</v>
      </c>
      <c r="C14" s="49" t="n">
        <f aca="false">Proyecto!$C$38</f>
        <v>1</v>
      </c>
      <c r="D14" s="49"/>
      <c r="E14" s="49"/>
      <c r="G14" s="45"/>
      <c r="H14" s="46"/>
      <c r="I14" s="47"/>
    </row>
    <row r="15" customFormat="false" ht="15" hidden="false" customHeight="false" outlineLevel="0" collapsed="false">
      <c r="B15" s="39" t="s">
        <v>193</v>
      </c>
      <c r="C15" s="50" t="n">
        <f aca="false">Proyecto!$C$39</f>
        <v>0.02</v>
      </c>
      <c r="D15" s="50"/>
      <c r="E15" s="50"/>
      <c r="G15" s="45"/>
      <c r="H15" s="46"/>
      <c r="I15" s="47"/>
    </row>
    <row r="16" customFormat="false" ht="15" hidden="false" customHeight="false" outlineLevel="0" collapsed="false">
      <c r="G16" s="51"/>
      <c r="H16" s="52"/>
      <c r="I16" s="53"/>
    </row>
    <row r="18" customFormat="false" ht="25.5" hidden="false" customHeight="true" outlineLevel="0" collapsed="false">
      <c r="B18" s="25" t="s">
        <v>60</v>
      </c>
      <c r="C18" s="25" t="s">
        <v>61</v>
      </c>
      <c r="D18" s="25" t="s">
        <v>194</v>
      </c>
      <c r="E18" s="25" t="s">
        <v>195</v>
      </c>
      <c r="F18" s="25" t="s">
        <v>196</v>
      </c>
      <c r="G18" s="25" t="s">
        <v>197</v>
      </c>
      <c r="H18" s="25" t="s">
        <v>198</v>
      </c>
      <c r="I18" s="25" t="s">
        <v>199</v>
      </c>
    </row>
    <row r="19" customFormat="false" ht="15" hidden="false" customHeight="false" outlineLevel="0" collapsed="false">
      <c r="B19" s="8" t="str">
        <f aca="false">Calculo!C5</f>
        <v>Zona 1</v>
      </c>
      <c r="C19" s="13" t="n">
        <f aca="false">Calculo!D6</f>
        <v>0</v>
      </c>
      <c r="D19" s="54" t="n">
        <f aca="false">Calculo!D69</f>
        <v>8</v>
      </c>
      <c r="E19" s="15" t="n">
        <f aca="false">Calculo!D71/1000</f>
        <v>0</v>
      </c>
      <c r="F19" s="15" t="n">
        <f aca="false">Calculo!D48/1000</f>
        <v>0</v>
      </c>
      <c r="G19" s="15" t="n">
        <f aca="false">Calculo!D73</f>
        <v>0</v>
      </c>
      <c r="H19" s="55" t="n">
        <f aca="false">Calculo!D72</f>
        <v>0</v>
      </c>
      <c r="I19" s="56" t="n">
        <f aca="false">Calculo!D74</f>
        <v>0</v>
      </c>
    </row>
    <row r="20" customFormat="false" ht="15" hidden="false" customHeight="false" outlineLevel="0" collapsed="false">
      <c r="B20" s="57" t="str">
        <f aca="false">Calculo!C77</f>
        <v>Zona 2</v>
      </c>
      <c r="C20" s="58" t="n">
        <f aca="false">Calculo!D78</f>
        <v>0</v>
      </c>
      <c r="D20" s="59" t="n">
        <f aca="false">Calculo!D141</f>
        <v>8</v>
      </c>
      <c r="E20" s="60" t="n">
        <f aca="false">Calculo!D143/1000</f>
        <v>0</v>
      </c>
      <c r="F20" s="60" t="n">
        <f aca="false">Calculo!D120/1000</f>
        <v>0</v>
      </c>
      <c r="G20" s="60" t="n">
        <f aca="false">Calculo!D145</f>
        <v>0</v>
      </c>
      <c r="H20" s="61" t="n">
        <f aca="false">Calculo!D144</f>
        <v>0</v>
      </c>
      <c r="I20" s="62" t="n">
        <f aca="false">Calculo!D146</f>
        <v>0</v>
      </c>
    </row>
    <row r="21" customFormat="false" ht="15" hidden="false" customHeight="false" outlineLevel="0" collapsed="false">
      <c r="B21" s="8" t="str">
        <f aca="false">Calculo!C149</f>
        <v>Zona 3</v>
      </c>
      <c r="C21" s="13" t="n">
        <f aca="false">Calculo!D150</f>
        <v>0</v>
      </c>
      <c r="D21" s="54" t="n">
        <f aca="false">Calculo!D213</f>
        <v>8</v>
      </c>
      <c r="E21" s="15" t="n">
        <f aca="false">Calculo!D215/1000</f>
        <v>0</v>
      </c>
      <c r="F21" s="15" t="n">
        <f aca="false">Calculo!D192/1000</f>
        <v>0</v>
      </c>
      <c r="G21" s="15" t="n">
        <f aca="false">Calculo!D217</f>
        <v>0</v>
      </c>
      <c r="H21" s="55" t="n">
        <f aca="false">Calculo!D216</f>
        <v>0</v>
      </c>
      <c r="I21" s="56" t="n">
        <f aca="false">Calculo!D218</f>
        <v>0</v>
      </c>
    </row>
    <row r="22" customFormat="false" ht="15" hidden="false" customHeight="false" outlineLevel="0" collapsed="false">
      <c r="B22" s="57" t="str">
        <f aca="false">Calculo!C221</f>
        <v>Zona 4</v>
      </c>
      <c r="C22" s="58" t="n">
        <f aca="false">Calculo!D222</f>
        <v>0</v>
      </c>
      <c r="D22" s="59" t="n">
        <f aca="false">Calculo!D285</f>
        <v>8</v>
      </c>
      <c r="E22" s="60" t="n">
        <f aca="false">Calculo!D287/1000</f>
        <v>0</v>
      </c>
      <c r="F22" s="60" t="n">
        <f aca="false">Calculo!D264/1000</f>
        <v>0</v>
      </c>
      <c r="G22" s="60" t="n">
        <f aca="false">Calculo!D289</f>
        <v>0</v>
      </c>
      <c r="H22" s="61" t="n">
        <f aca="false">Calculo!D288</f>
        <v>0</v>
      </c>
      <c r="I22" s="62" t="n">
        <f aca="false">Calculo!D290</f>
        <v>0</v>
      </c>
    </row>
    <row r="23" customFormat="false" ht="15" hidden="false" customHeight="false" outlineLevel="0" collapsed="false">
      <c r="B23" s="8" t="str">
        <f aca="false">Calculo!C293</f>
        <v>Zona 5</v>
      </c>
      <c r="C23" s="13" t="n">
        <f aca="false">Calculo!D294</f>
        <v>0</v>
      </c>
      <c r="D23" s="54" t="n">
        <f aca="false">Calculo!D357</f>
        <v>8</v>
      </c>
      <c r="E23" s="15" t="n">
        <f aca="false">Calculo!D359/1000</f>
        <v>0</v>
      </c>
      <c r="F23" s="15" t="n">
        <f aca="false">Calculo!D336/1000</f>
        <v>0</v>
      </c>
      <c r="G23" s="15" t="n">
        <f aca="false">Calculo!D361</f>
        <v>0</v>
      </c>
      <c r="H23" s="55" t="n">
        <f aca="false">Calculo!D360</f>
        <v>0</v>
      </c>
      <c r="I23" s="56" t="n">
        <f aca="false">Calculo!D362</f>
        <v>0</v>
      </c>
    </row>
    <row r="24" customFormat="false" ht="15" hidden="false" customHeight="false" outlineLevel="0" collapsed="false">
      <c r="B24" s="57" t="str">
        <f aca="false">Calculo!C365</f>
        <v>Zona 6</v>
      </c>
      <c r="C24" s="58" t="n">
        <f aca="false">Calculo!D366</f>
        <v>0</v>
      </c>
      <c r="D24" s="59" t="n">
        <f aca="false">Calculo!D429</f>
        <v>8</v>
      </c>
      <c r="E24" s="60" t="n">
        <f aca="false">Calculo!D431/1000</f>
        <v>0</v>
      </c>
      <c r="F24" s="60" t="n">
        <f aca="false">Calculo!D408/1000</f>
        <v>0</v>
      </c>
      <c r="G24" s="60" t="n">
        <f aca="false">Calculo!D433</f>
        <v>0</v>
      </c>
      <c r="H24" s="61" t="n">
        <f aca="false">Calculo!D432</f>
        <v>0</v>
      </c>
      <c r="I24" s="62" t="n">
        <f aca="false">Calculo!D434</f>
        <v>0</v>
      </c>
    </row>
    <row r="25" customFormat="false" ht="15" hidden="false" customHeight="false" outlineLevel="0" collapsed="false">
      <c r="B25" s="8" t="str">
        <f aca="false">Calculo!C437</f>
        <v>Zona 7</v>
      </c>
      <c r="C25" s="13" t="n">
        <f aca="false">Calculo!D438</f>
        <v>0</v>
      </c>
      <c r="D25" s="54" t="n">
        <f aca="false">Calculo!D501</f>
        <v>8</v>
      </c>
      <c r="E25" s="15" t="n">
        <f aca="false">Calculo!D503/1000</f>
        <v>0</v>
      </c>
      <c r="F25" s="15" t="n">
        <f aca="false">Calculo!D480/1000</f>
        <v>0</v>
      </c>
      <c r="G25" s="15" t="n">
        <f aca="false">Calculo!D505</f>
        <v>0</v>
      </c>
      <c r="H25" s="55" t="n">
        <f aca="false">Calculo!D504</f>
        <v>0</v>
      </c>
      <c r="I25" s="56" t="n">
        <f aca="false">Calculo!D506</f>
        <v>0</v>
      </c>
    </row>
    <row r="26" customFormat="false" ht="15" hidden="false" customHeight="false" outlineLevel="0" collapsed="false">
      <c r="B26" s="57" t="str">
        <f aca="false">Calculo!C509</f>
        <v>Zona 8</v>
      </c>
      <c r="C26" s="58" t="n">
        <f aca="false">Calculo!D510</f>
        <v>0</v>
      </c>
      <c r="D26" s="59" t="n">
        <f aca="false">Calculo!D573</f>
        <v>8</v>
      </c>
      <c r="E26" s="60" t="n">
        <f aca="false">Calculo!D575/1000</f>
        <v>0</v>
      </c>
      <c r="F26" s="60" t="n">
        <f aca="false">Calculo!D552/1000</f>
        <v>0</v>
      </c>
      <c r="G26" s="60" t="n">
        <f aca="false">Calculo!D577</f>
        <v>0</v>
      </c>
      <c r="H26" s="61" t="n">
        <f aca="false">Calculo!D576</f>
        <v>0</v>
      </c>
      <c r="I26" s="62" t="n">
        <f aca="false">Calculo!D578</f>
        <v>0</v>
      </c>
    </row>
    <row r="27" customFormat="false" ht="15" hidden="false" customHeight="false" outlineLevel="0" collapsed="false">
      <c r="B27" s="8" t="str">
        <f aca="false">Calculo!C581</f>
        <v>Zona 9</v>
      </c>
      <c r="C27" s="13" t="n">
        <f aca="false">Calculo!D582</f>
        <v>0</v>
      </c>
      <c r="D27" s="54" t="n">
        <f aca="false">Calculo!D645</f>
        <v>8</v>
      </c>
      <c r="E27" s="15" t="n">
        <f aca="false">Calculo!D647/1000</f>
        <v>0</v>
      </c>
      <c r="F27" s="15" t="n">
        <f aca="false">Calculo!D624/1000</f>
        <v>0</v>
      </c>
      <c r="G27" s="15" t="n">
        <f aca="false">Calculo!D649</f>
        <v>0</v>
      </c>
      <c r="H27" s="55" t="n">
        <f aca="false">Calculo!D648</f>
        <v>0</v>
      </c>
      <c r="I27" s="56" t="n">
        <f aca="false">Calculo!D650</f>
        <v>0</v>
      </c>
    </row>
    <row r="28" customFormat="false" ht="15" hidden="false" customHeight="false" outlineLevel="0" collapsed="false">
      <c r="B28" s="57" t="str">
        <f aca="false">Calculo!C653</f>
        <v>Zona 10</v>
      </c>
      <c r="C28" s="58" t="n">
        <f aca="false">Calculo!D654</f>
        <v>0</v>
      </c>
      <c r="D28" s="59" t="n">
        <f aca="false">Calculo!D717</f>
        <v>8</v>
      </c>
      <c r="E28" s="60" t="n">
        <f aca="false">Calculo!D719/1000</f>
        <v>0</v>
      </c>
      <c r="F28" s="60" t="n">
        <f aca="false">Calculo!D696/1000</f>
        <v>0</v>
      </c>
      <c r="G28" s="60" t="n">
        <f aca="false">Calculo!D721</f>
        <v>0</v>
      </c>
      <c r="H28" s="61" t="n">
        <f aca="false">Calculo!D720</f>
        <v>0</v>
      </c>
      <c r="I28" s="62" t="n">
        <f aca="false">Calculo!D722</f>
        <v>0</v>
      </c>
    </row>
    <row r="29" customFormat="false" ht="15" hidden="false" customHeight="false" outlineLevel="0" collapsed="false">
      <c r="B29" s="63" t="s">
        <v>200</v>
      </c>
      <c r="C29" s="64" t="n">
        <f aca="false">SUM(C19:C28)</f>
        <v>0</v>
      </c>
      <c r="D29" s="65" t="s">
        <v>201</v>
      </c>
      <c r="E29" s="66" t="n">
        <f aca="false">SUM(E19:E28)</f>
        <v>0</v>
      </c>
      <c r="F29" s="66" t="n">
        <f aca="false">SUM(F19:F28)</f>
        <v>0</v>
      </c>
      <c r="G29" s="66" t="n">
        <f aca="false">SUM(G19:G28)</f>
        <v>0</v>
      </c>
      <c r="H29" s="66" t="n">
        <f aca="false">SUM(H19:H28)</f>
        <v>0</v>
      </c>
      <c r="I29" s="67" t="n">
        <f aca="false">SUM(I19:I28)</f>
        <v>0</v>
      </c>
    </row>
    <row r="31" customFormat="false" ht="15" hidden="false" customHeight="false" outlineLevel="0" collapsed="false">
      <c r="B31" s="6" t="s">
        <v>202</v>
      </c>
      <c r="C31" s="68" t="n">
        <f aca="false">Proyecto!$C$38</f>
        <v>1</v>
      </c>
    </row>
    <row r="32" customFormat="false" ht="15" hidden="false" customHeight="false" outlineLevel="0" collapsed="false">
      <c r="B32" s="6" t="s">
        <v>203</v>
      </c>
      <c r="C32" s="69" t="n">
        <f aca="false">Proyecto!$C$39</f>
        <v>0.02</v>
      </c>
    </row>
    <row r="34" customFormat="false" ht="15" hidden="false" customHeight="false" outlineLevel="0" collapsed="false">
      <c r="B34" s="70" t="s">
        <v>204</v>
      </c>
      <c r="C34" s="70"/>
      <c r="D34" s="70"/>
      <c r="E34" s="70"/>
      <c r="F34" s="70"/>
      <c r="G34" s="70"/>
      <c r="H34" s="70"/>
      <c r="I34" s="70"/>
    </row>
    <row r="73" customFormat="false" ht="15" hidden="false" customHeight="false" outlineLevel="0" collapsed="false">
      <c r="B73" s="22"/>
      <c r="C73" s="22"/>
      <c r="D73" s="22"/>
      <c r="E73" s="22"/>
      <c r="F73" s="22"/>
      <c r="G73" s="22"/>
      <c r="H73" s="22"/>
      <c r="I73" s="22"/>
    </row>
    <row r="74" customFormat="false" ht="15" hidden="false" customHeight="false" outlineLevel="0" collapsed="false">
      <c r="B74" s="23" t="s">
        <v>55</v>
      </c>
      <c r="C74" s="33" t="s">
        <v>113</v>
      </c>
      <c r="D74" s="33"/>
      <c r="E74" s="33"/>
      <c r="F74" s="33"/>
      <c r="G74" s="33"/>
      <c r="H74" s="33"/>
      <c r="I74" s="24" t="s">
        <v>205</v>
      </c>
    </row>
  </sheetData>
  <mergeCells count="20">
    <mergeCell ref="B2:I2"/>
    <mergeCell ref="B3:I3"/>
    <mergeCell ref="B4:I4"/>
    <mergeCell ref="B5:I5"/>
    <mergeCell ref="C6:E6"/>
    <mergeCell ref="G6:I6"/>
    <mergeCell ref="C7:E7"/>
    <mergeCell ref="G7:I8"/>
    <mergeCell ref="C8:E8"/>
    <mergeCell ref="C9:E9"/>
    <mergeCell ref="G9:I9"/>
    <mergeCell ref="C10:E10"/>
    <mergeCell ref="G10:I10"/>
    <mergeCell ref="C11:E11"/>
    <mergeCell ref="C12:E12"/>
    <mergeCell ref="C13:E13"/>
    <mergeCell ref="C14:E14"/>
    <mergeCell ref="C15:E15"/>
    <mergeCell ref="B34:I34"/>
    <mergeCell ref="C74:H74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true"/>
  </sheetPr>
  <dimension ref="B2:M1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13" min="3" style="0" width="11"/>
  </cols>
  <sheetData>
    <row r="2" customFormat="false" ht="15" hidden="false" customHeight="false" outlineLevel="0" collapsed="false">
      <c r="B2" s="1" t="s">
        <v>206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7.35" hidden="false" customHeight="false" outlineLevel="0" collapsed="false">
      <c r="B3" s="2" t="s">
        <v>207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B4" s="3" t="s">
        <v>208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B5" s="4" t="s">
        <v>209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B6" s="34" t="s">
        <v>210</v>
      </c>
      <c r="C6" s="34" t="s">
        <v>211</v>
      </c>
      <c r="D6" s="34" t="s">
        <v>212</v>
      </c>
      <c r="E6" s="34" t="s">
        <v>213</v>
      </c>
      <c r="F6" s="34" t="s">
        <v>214</v>
      </c>
      <c r="G6" s="34" t="s">
        <v>215</v>
      </c>
      <c r="H6" s="34" t="s">
        <v>216</v>
      </c>
    </row>
    <row r="7" customFormat="false" ht="15" hidden="false" customHeight="false" outlineLevel="0" collapsed="false">
      <c r="B7" s="8" t="s">
        <v>21</v>
      </c>
      <c r="C7" s="8" t="s">
        <v>217</v>
      </c>
      <c r="D7" s="13" t="n">
        <v>35</v>
      </c>
      <c r="E7" s="13" t="n">
        <v>24</v>
      </c>
      <c r="F7" s="14" t="n">
        <v>0</v>
      </c>
      <c r="G7" s="13" t="n">
        <v>11</v>
      </c>
      <c r="H7" s="71" t="s">
        <v>218</v>
      </c>
    </row>
    <row r="8" customFormat="false" ht="15" hidden="false" customHeight="false" outlineLevel="0" collapsed="false">
      <c r="B8" s="8" t="s">
        <v>219</v>
      </c>
      <c r="C8" s="8" t="s">
        <v>220</v>
      </c>
      <c r="D8" s="13" t="n">
        <v>40</v>
      </c>
      <c r="E8" s="13" t="n">
        <v>21</v>
      </c>
      <c r="F8" s="14" t="n">
        <v>540</v>
      </c>
      <c r="G8" s="13" t="n">
        <v>16</v>
      </c>
      <c r="H8" s="71" t="s">
        <v>221</v>
      </c>
    </row>
    <row r="9" customFormat="false" ht="15" hidden="false" customHeight="false" outlineLevel="0" collapsed="false">
      <c r="B9" s="8" t="s">
        <v>222</v>
      </c>
      <c r="C9" s="8" t="s">
        <v>223</v>
      </c>
      <c r="D9" s="13" t="n">
        <v>46</v>
      </c>
      <c r="E9" s="13" t="n">
        <v>23</v>
      </c>
      <c r="F9" s="14" t="n">
        <v>3</v>
      </c>
      <c r="G9" s="13" t="n">
        <v>17</v>
      </c>
      <c r="H9" s="71" t="s">
        <v>224</v>
      </c>
    </row>
    <row r="10" customFormat="false" ht="15" hidden="false" customHeight="false" outlineLevel="0" collapsed="false">
      <c r="B10" s="8" t="s">
        <v>225</v>
      </c>
      <c r="C10" s="8" t="s">
        <v>226</v>
      </c>
      <c r="D10" s="13" t="n">
        <v>30</v>
      </c>
      <c r="E10" s="13" t="n">
        <v>22</v>
      </c>
      <c r="F10" s="14" t="n">
        <v>20</v>
      </c>
      <c r="G10" s="13" t="n">
        <v>8</v>
      </c>
      <c r="H10" s="71" t="s">
        <v>227</v>
      </c>
    </row>
    <row r="13" customFormat="false" ht="15" hidden="false" customHeight="false" outlineLevel="0" collapsed="false">
      <c r="B13" s="4" t="s">
        <v>228</v>
      </c>
      <c r="C13" s="4"/>
      <c r="D13" s="4"/>
    </row>
    <row r="14" customFormat="false" ht="15" hidden="false" customHeight="false" outlineLevel="0" collapsed="false">
      <c r="B14" s="34" t="s">
        <v>229</v>
      </c>
      <c r="C14" s="34" t="s">
        <v>230</v>
      </c>
      <c r="D14" s="34" t="s">
        <v>231</v>
      </c>
    </row>
    <row r="15" customFormat="false" ht="15" hidden="false" customHeight="false" outlineLevel="0" collapsed="false">
      <c r="B15" s="8" t="s">
        <v>232</v>
      </c>
      <c r="C15" s="16" t="n">
        <v>2.721</v>
      </c>
      <c r="D15" s="14" t="n">
        <v>435</v>
      </c>
    </row>
    <row r="16" customFormat="false" ht="15" hidden="false" customHeight="false" outlineLevel="0" collapsed="false">
      <c r="B16" s="8" t="s">
        <v>233</v>
      </c>
      <c r="C16" s="16" t="n">
        <v>1.989</v>
      </c>
      <c r="D16" s="14" t="n">
        <v>610</v>
      </c>
    </row>
    <row r="17" customFormat="false" ht="15" hidden="false" customHeight="false" outlineLevel="0" collapsed="false">
      <c r="B17" s="8" t="s">
        <v>234</v>
      </c>
      <c r="C17" s="16" t="n">
        <v>2.954</v>
      </c>
      <c r="D17" s="14" t="n">
        <v>210</v>
      </c>
    </row>
    <row r="18" customFormat="false" ht="15" hidden="false" customHeight="false" outlineLevel="0" collapsed="false">
      <c r="B18" s="8" t="s">
        <v>235</v>
      </c>
      <c r="C18" s="16" t="n">
        <v>0.9</v>
      </c>
      <c r="D18" s="14" t="n">
        <v>160</v>
      </c>
    </row>
    <row r="19" customFormat="false" ht="15" hidden="false" customHeight="false" outlineLevel="0" collapsed="false">
      <c r="B19" s="8" t="s">
        <v>236</v>
      </c>
      <c r="C19" s="16" t="n">
        <v>3.803</v>
      </c>
      <c r="D19" s="14" t="n">
        <v>454</v>
      </c>
    </row>
    <row r="20" customFormat="false" ht="15" hidden="false" customHeight="false" outlineLevel="0" collapsed="false">
      <c r="B20" s="8" t="s">
        <v>237</v>
      </c>
      <c r="C20" s="16" t="n">
        <v>0.55</v>
      </c>
      <c r="D20" s="14" t="n">
        <v>380</v>
      </c>
    </row>
    <row r="21" customFormat="false" ht="15" hidden="false" customHeight="false" outlineLevel="0" collapsed="false">
      <c r="B21" s="8" t="s">
        <v>99</v>
      </c>
      <c r="C21" s="16" t="n">
        <v>0.849</v>
      </c>
      <c r="D21" s="14" t="n">
        <v>176</v>
      </c>
    </row>
    <row r="22" customFormat="false" ht="15" hidden="false" customHeight="false" outlineLevel="0" collapsed="false">
      <c r="B22" s="8" t="s">
        <v>238</v>
      </c>
      <c r="C22" s="16" t="n">
        <v>0.35</v>
      </c>
      <c r="D22" s="14" t="n">
        <v>25</v>
      </c>
    </row>
    <row r="23" customFormat="false" ht="15" hidden="false" customHeight="false" outlineLevel="0" collapsed="false">
      <c r="B23" s="8" t="s">
        <v>239</v>
      </c>
      <c r="C23" s="16" t="n">
        <v>0.28</v>
      </c>
      <c r="D23" s="14" t="n">
        <v>22</v>
      </c>
    </row>
    <row r="24" customFormat="false" ht="15" hidden="false" customHeight="false" outlineLevel="0" collapsed="false">
      <c r="B24" s="8" t="s">
        <v>240</v>
      </c>
      <c r="C24" s="16" t="n">
        <v>0.55</v>
      </c>
      <c r="D24" s="14" t="n">
        <v>28</v>
      </c>
    </row>
    <row r="25" customFormat="false" ht="15" hidden="false" customHeight="false" outlineLevel="0" collapsed="false">
      <c r="B25" s="8" t="s">
        <v>241</v>
      </c>
      <c r="C25" s="16" t="n">
        <v>0.45</v>
      </c>
      <c r="D25" s="14" t="n">
        <v>30</v>
      </c>
    </row>
    <row r="26" customFormat="false" ht="15" hidden="false" customHeight="false" outlineLevel="0" collapsed="false">
      <c r="B26" s="8" t="s">
        <v>242</v>
      </c>
      <c r="C26" s="16" t="n">
        <v>0.32</v>
      </c>
      <c r="D26" s="14" t="n">
        <v>34</v>
      </c>
    </row>
    <row r="27" customFormat="false" ht="15" hidden="false" customHeight="false" outlineLevel="0" collapsed="false">
      <c r="B27" s="8" t="s">
        <v>243</v>
      </c>
      <c r="C27" s="16" t="n">
        <v>0.62</v>
      </c>
      <c r="D27" s="14" t="n">
        <v>36</v>
      </c>
    </row>
    <row r="28" customFormat="false" ht="15" hidden="false" customHeight="false" outlineLevel="0" collapsed="false">
      <c r="B28" s="8" t="s">
        <v>244</v>
      </c>
      <c r="C28" s="16" t="n">
        <v>0.48</v>
      </c>
      <c r="D28" s="14" t="n">
        <v>42</v>
      </c>
    </row>
    <row r="29" customFormat="false" ht="15" hidden="false" customHeight="false" outlineLevel="0" collapsed="false">
      <c r="B29" s="8" t="s">
        <v>245</v>
      </c>
      <c r="C29" s="16" t="n">
        <v>0.7</v>
      </c>
      <c r="D29" s="14" t="n">
        <v>40</v>
      </c>
    </row>
    <row r="30" customFormat="false" ht="15" hidden="false" customHeight="false" outlineLevel="0" collapsed="false">
      <c r="B30" s="8" t="s">
        <v>246</v>
      </c>
      <c r="C30" s="16" t="n">
        <v>1.6</v>
      </c>
      <c r="D30" s="14" t="n">
        <v>280</v>
      </c>
    </row>
    <row r="31" customFormat="false" ht="15" hidden="false" customHeight="false" outlineLevel="0" collapsed="false">
      <c r="B31" s="8" t="s">
        <v>247</v>
      </c>
      <c r="C31" s="16" t="n">
        <v>1.419</v>
      </c>
      <c r="D31" s="14" t="n">
        <v>193</v>
      </c>
    </row>
    <row r="32" customFormat="false" ht="15" hidden="false" customHeight="false" outlineLevel="0" collapsed="false">
      <c r="B32" s="8" t="s">
        <v>248</v>
      </c>
      <c r="C32" s="16" t="n">
        <v>0.4</v>
      </c>
      <c r="D32" s="14" t="n">
        <v>18</v>
      </c>
    </row>
    <row r="33" customFormat="false" ht="15" hidden="false" customHeight="false" outlineLevel="0" collapsed="false">
      <c r="B33" s="8" t="s">
        <v>249</v>
      </c>
      <c r="C33" s="16" t="n">
        <v>0.42</v>
      </c>
      <c r="D33" s="14" t="n">
        <v>22</v>
      </c>
    </row>
    <row r="34" customFormat="false" ht="15" hidden="false" customHeight="false" outlineLevel="0" collapsed="false">
      <c r="B34" s="8" t="s">
        <v>250</v>
      </c>
      <c r="C34" s="16" t="n">
        <v>0.76</v>
      </c>
      <c r="D34" s="14" t="n">
        <v>13</v>
      </c>
    </row>
    <row r="35" customFormat="false" ht="15" hidden="false" customHeight="false" outlineLevel="0" collapsed="false">
      <c r="B35" s="8" t="s">
        <v>251</v>
      </c>
      <c r="C35" s="16" t="n">
        <v>0.44</v>
      </c>
      <c r="D35" s="14" t="n">
        <v>11</v>
      </c>
    </row>
    <row r="36" customFormat="false" ht="15" hidden="false" customHeight="false" outlineLevel="0" collapsed="false">
      <c r="B36" s="8" t="s">
        <v>252</v>
      </c>
      <c r="C36" s="16" t="n">
        <v>0.3</v>
      </c>
      <c r="D36" s="14" t="n">
        <v>13</v>
      </c>
    </row>
    <row r="37" customFormat="false" ht="15" hidden="false" customHeight="false" outlineLevel="0" collapsed="false">
      <c r="B37" s="8" t="s">
        <v>253</v>
      </c>
      <c r="C37" s="16" t="n">
        <v>0.23</v>
      </c>
      <c r="D37" s="14" t="n">
        <v>15</v>
      </c>
    </row>
    <row r="38" customFormat="false" ht="15" hidden="false" customHeight="false" outlineLevel="0" collapsed="false">
      <c r="B38" s="8" t="s">
        <v>254</v>
      </c>
      <c r="C38" s="16" t="n">
        <v>5.88</v>
      </c>
      <c r="D38" s="14" t="n">
        <v>6</v>
      </c>
    </row>
    <row r="39" customFormat="false" ht="15" hidden="false" customHeight="false" outlineLevel="0" collapsed="false">
      <c r="B39" s="8" t="s">
        <v>255</v>
      </c>
      <c r="C39" s="16" t="n">
        <v>0.72</v>
      </c>
      <c r="D39" s="14" t="n">
        <v>8</v>
      </c>
    </row>
    <row r="40" customFormat="false" ht="15" hidden="false" customHeight="false" outlineLevel="0" collapsed="false">
      <c r="B40" s="8" t="s">
        <v>256</v>
      </c>
      <c r="C40" s="16" t="n">
        <v>3.2</v>
      </c>
      <c r="D40" s="14" t="n">
        <v>210</v>
      </c>
    </row>
    <row r="41" customFormat="false" ht="15" hidden="false" customHeight="false" outlineLevel="0" collapsed="false">
      <c r="B41" s="8" t="s">
        <v>257</v>
      </c>
      <c r="C41" s="16" t="n">
        <v>1.15</v>
      </c>
      <c r="D41" s="14" t="n">
        <v>235</v>
      </c>
    </row>
    <row r="42" customFormat="false" ht="15" hidden="false" customHeight="false" outlineLevel="0" collapsed="false">
      <c r="B42" s="8" t="s">
        <v>258</v>
      </c>
      <c r="C42" s="16" t="n">
        <v>0.52</v>
      </c>
      <c r="D42" s="14" t="n">
        <v>490</v>
      </c>
    </row>
    <row r="43" customFormat="false" ht="15" hidden="false" customHeight="false" outlineLevel="0" collapsed="false">
      <c r="B43" s="8" t="s">
        <v>259</v>
      </c>
      <c r="C43" s="16" t="n">
        <v>3.6</v>
      </c>
      <c r="D43" s="14" t="n">
        <v>460</v>
      </c>
    </row>
    <row r="45" customFormat="false" ht="15" hidden="false" customHeight="false" outlineLevel="0" collapsed="false">
      <c r="B45" s="4" t="s">
        <v>260</v>
      </c>
      <c r="C45" s="4"/>
      <c r="D45" s="4"/>
    </row>
    <row r="46" customFormat="false" ht="15" hidden="false" customHeight="false" outlineLevel="0" collapsed="false">
      <c r="B46" s="34" t="s">
        <v>229</v>
      </c>
      <c r="C46" s="34" t="s">
        <v>230</v>
      </c>
      <c r="D46" s="34" t="s">
        <v>231</v>
      </c>
    </row>
    <row r="47" customFormat="false" ht="15" hidden="false" customHeight="false" outlineLevel="0" collapsed="false">
      <c r="B47" s="8" t="s">
        <v>100</v>
      </c>
      <c r="C47" s="16" t="n">
        <v>0.55</v>
      </c>
      <c r="D47" s="14" t="n">
        <v>320</v>
      </c>
    </row>
    <row r="48" customFormat="false" ht="15" hidden="false" customHeight="false" outlineLevel="0" collapsed="false">
      <c r="B48" s="8" t="s">
        <v>261</v>
      </c>
      <c r="C48" s="16" t="n">
        <v>0.35</v>
      </c>
      <c r="D48" s="14" t="n">
        <v>330</v>
      </c>
    </row>
    <row r="49" customFormat="false" ht="15" hidden="false" customHeight="false" outlineLevel="0" collapsed="false">
      <c r="B49" s="8" t="s">
        <v>262</v>
      </c>
      <c r="C49" s="16" t="n">
        <v>0.4</v>
      </c>
      <c r="D49" s="14" t="n">
        <v>40</v>
      </c>
    </row>
    <row r="50" customFormat="false" ht="15" hidden="false" customHeight="false" outlineLevel="0" collapsed="false">
      <c r="B50" s="8" t="s">
        <v>263</v>
      </c>
      <c r="C50" s="16" t="n">
        <v>0.22</v>
      </c>
      <c r="D50" s="14" t="n">
        <v>28</v>
      </c>
    </row>
    <row r="51" customFormat="false" ht="15" hidden="false" customHeight="false" outlineLevel="0" collapsed="false">
      <c r="B51" s="8" t="s">
        <v>264</v>
      </c>
      <c r="C51" s="16" t="n">
        <v>0.28</v>
      </c>
      <c r="D51" s="14" t="n">
        <v>45</v>
      </c>
    </row>
    <row r="52" customFormat="false" ht="15" hidden="false" customHeight="false" outlineLevel="0" collapsed="false">
      <c r="B52" s="8" t="s">
        <v>265</v>
      </c>
      <c r="C52" s="16" t="n">
        <v>0.2</v>
      </c>
      <c r="D52" s="14" t="n">
        <v>40</v>
      </c>
    </row>
    <row r="53" customFormat="false" ht="15" hidden="false" customHeight="false" outlineLevel="0" collapsed="false">
      <c r="B53" s="8" t="s">
        <v>266</v>
      </c>
      <c r="C53" s="16" t="n">
        <v>0.65</v>
      </c>
      <c r="D53" s="14" t="n">
        <v>90</v>
      </c>
    </row>
    <row r="54" customFormat="false" ht="15" hidden="false" customHeight="false" outlineLevel="0" collapsed="false">
      <c r="B54" s="8" t="s">
        <v>267</v>
      </c>
      <c r="C54" s="16" t="n">
        <v>0.45</v>
      </c>
      <c r="D54" s="14" t="n">
        <v>55</v>
      </c>
    </row>
    <row r="55" customFormat="false" ht="15" hidden="false" customHeight="false" outlineLevel="0" collapsed="false">
      <c r="B55" s="8" t="s">
        <v>268</v>
      </c>
      <c r="C55" s="16" t="n">
        <v>0.62</v>
      </c>
      <c r="D55" s="14" t="n">
        <v>18</v>
      </c>
    </row>
    <row r="56" customFormat="false" ht="15" hidden="false" customHeight="false" outlineLevel="0" collapsed="false">
      <c r="B56" s="8" t="s">
        <v>269</v>
      </c>
      <c r="C56" s="16" t="n">
        <v>0.42</v>
      </c>
      <c r="D56" s="14" t="n">
        <v>22</v>
      </c>
    </row>
    <row r="57" customFormat="false" ht="15" hidden="false" customHeight="false" outlineLevel="0" collapsed="false">
      <c r="B57" s="8" t="s">
        <v>270</v>
      </c>
      <c r="C57" s="16" t="n">
        <v>0.52</v>
      </c>
      <c r="D57" s="14" t="n">
        <v>12</v>
      </c>
    </row>
    <row r="58" customFormat="false" ht="15" hidden="false" customHeight="false" outlineLevel="0" collapsed="false">
      <c r="B58" s="8" t="s">
        <v>271</v>
      </c>
      <c r="C58" s="16" t="n">
        <v>0.23</v>
      </c>
      <c r="D58" s="14" t="n">
        <v>15</v>
      </c>
    </row>
    <row r="59" customFormat="false" ht="15" hidden="false" customHeight="false" outlineLevel="0" collapsed="false">
      <c r="B59" s="8" t="s">
        <v>272</v>
      </c>
      <c r="C59" s="16" t="n">
        <v>0.55</v>
      </c>
      <c r="D59" s="14" t="n">
        <v>320</v>
      </c>
    </row>
    <row r="60" customFormat="false" ht="15" hidden="false" customHeight="false" outlineLevel="0" collapsed="false">
      <c r="B60" s="8" t="s">
        <v>273</v>
      </c>
      <c r="C60" s="16" t="n">
        <v>0.38</v>
      </c>
      <c r="D60" s="14" t="n">
        <v>25</v>
      </c>
    </row>
    <row r="62" customFormat="false" ht="15" hidden="false" customHeight="false" outlineLevel="0" collapsed="false">
      <c r="B62" s="4" t="s">
        <v>274</v>
      </c>
      <c r="C62" s="4"/>
      <c r="D62" s="4"/>
      <c r="E62" s="4"/>
    </row>
    <row r="63" customFormat="false" ht="15" hidden="false" customHeight="false" outlineLevel="0" collapsed="false">
      <c r="B63" s="34" t="s">
        <v>229</v>
      </c>
      <c r="C63" s="34" t="s">
        <v>230</v>
      </c>
      <c r="D63" s="34" t="s">
        <v>231</v>
      </c>
      <c r="E63" s="34" t="s">
        <v>275</v>
      </c>
    </row>
    <row r="64" customFormat="false" ht="15" hidden="false" customHeight="false" outlineLevel="0" collapsed="false">
      <c r="B64" s="8" t="s">
        <v>276</v>
      </c>
      <c r="C64" s="15" t="n">
        <v>5.8</v>
      </c>
      <c r="D64" s="14" t="n">
        <v>15</v>
      </c>
      <c r="E64" s="15" t="n">
        <v>0.86</v>
      </c>
    </row>
    <row r="65" customFormat="false" ht="15" hidden="false" customHeight="false" outlineLevel="0" collapsed="false">
      <c r="B65" s="8" t="s">
        <v>277</v>
      </c>
      <c r="C65" s="15" t="n">
        <v>5.8</v>
      </c>
      <c r="D65" s="14" t="n">
        <v>15</v>
      </c>
      <c r="E65" s="15" t="n">
        <v>0.6</v>
      </c>
    </row>
    <row r="66" customFormat="false" ht="15" hidden="false" customHeight="false" outlineLevel="0" collapsed="false">
      <c r="B66" s="8" t="s">
        <v>101</v>
      </c>
      <c r="C66" s="15" t="n">
        <v>2.8</v>
      </c>
      <c r="D66" s="14" t="n">
        <v>25</v>
      </c>
      <c r="E66" s="15" t="n">
        <v>0.7</v>
      </c>
    </row>
    <row r="67" customFormat="false" ht="15" hidden="false" customHeight="false" outlineLevel="0" collapsed="false">
      <c r="B67" s="8" t="s">
        <v>278</v>
      </c>
      <c r="C67" s="15" t="n">
        <v>2.4</v>
      </c>
      <c r="D67" s="14" t="n">
        <v>26</v>
      </c>
      <c r="E67" s="15" t="n">
        <v>0.68</v>
      </c>
    </row>
    <row r="68" customFormat="false" ht="15" hidden="false" customHeight="false" outlineLevel="0" collapsed="false">
      <c r="B68" s="8" t="s">
        <v>279</v>
      </c>
      <c r="C68" s="15" t="n">
        <v>1.6</v>
      </c>
      <c r="D68" s="14" t="n">
        <v>28</v>
      </c>
      <c r="E68" s="15" t="n">
        <v>0.35</v>
      </c>
    </row>
    <row r="69" customFormat="false" ht="15" hidden="false" customHeight="false" outlineLevel="0" collapsed="false">
      <c r="B69" s="8" t="s">
        <v>280</v>
      </c>
      <c r="C69" s="15" t="n">
        <v>1.1</v>
      </c>
      <c r="D69" s="14" t="n">
        <v>40</v>
      </c>
      <c r="E69" s="15" t="n">
        <v>0.28</v>
      </c>
    </row>
    <row r="70" customFormat="false" ht="15" hidden="false" customHeight="false" outlineLevel="0" collapsed="false">
      <c r="B70" s="8" t="s">
        <v>281</v>
      </c>
      <c r="C70" s="15" t="n">
        <v>2</v>
      </c>
      <c r="D70" s="14" t="n">
        <v>27</v>
      </c>
      <c r="E70" s="15" t="n">
        <v>0.25</v>
      </c>
    </row>
    <row r="71" customFormat="false" ht="15" hidden="false" customHeight="false" outlineLevel="0" collapsed="false">
      <c r="B71" s="8" t="s">
        <v>282</v>
      </c>
      <c r="C71" s="15" t="n">
        <v>5.2</v>
      </c>
      <c r="D71" s="14" t="n">
        <v>20</v>
      </c>
      <c r="E71" s="15" t="n">
        <v>0.75</v>
      </c>
    </row>
    <row r="72" customFormat="false" ht="15" hidden="false" customHeight="false" outlineLevel="0" collapsed="false">
      <c r="B72" s="8" t="s">
        <v>283</v>
      </c>
      <c r="C72" s="15" t="n">
        <v>0.8</v>
      </c>
      <c r="D72" s="14" t="n">
        <v>30</v>
      </c>
      <c r="E72" s="15" t="n">
        <v>0.1</v>
      </c>
    </row>
    <row r="73" customFormat="false" ht="15" hidden="false" customHeight="false" outlineLevel="0" collapsed="false">
      <c r="B73" s="8" t="s">
        <v>284</v>
      </c>
      <c r="C73" s="15" t="n">
        <v>1.7</v>
      </c>
      <c r="D73" s="14" t="n">
        <v>25</v>
      </c>
      <c r="E73" s="15" t="n">
        <v>0.27</v>
      </c>
    </row>
    <row r="74" customFormat="false" ht="15" hidden="false" customHeight="false" outlineLevel="0" collapsed="false">
      <c r="B74" s="8" t="s">
        <v>285</v>
      </c>
      <c r="C74" s="15" t="n">
        <v>1.4</v>
      </c>
      <c r="D74" s="14" t="n">
        <v>32</v>
      </c>
      <c r="E74" s="15" t="n">
        <v>0.31</v>
      </c>
    </row>
    <row r="75" customFormat="false" ht="15" hidden="false" customHeight="false" outlineLevel="0" collapsed="false">
      <c r="B75" s="8" t="s">
        <v>286</v>
      </c>
      <c r="C75" s="15" t="n">
        <v>2.3</v>
      </c>
      <c r="D75" s="14" t="n">
        <v>3</v>
      </c>
      <c r="E75" s="15" t="n">
        <v>0.52</v>
      </c>
    </row>
    <row r="77" customFormat="false" ht="15" hidden="false" customHeight="false" outlineLevel="0" collapsed="false">
      <c r="B77" s="4" t="s">
        <v>287</v>
      </c>
      <c r="C77" s="4"/>
      <c r="D77" s="4"/>
      <c r="E77" s="4"/>
      <c r="F77" s="4"/>
      <c r="G77" s="4"/>
    </row>
    <row r="78" customFormat="false" ht="15" hidden="false" customHeight="false" outlineLevel="0" collapsed="false">
      <c r="B78" s="34" t="s">
        <v>63</v>
      </c>
      <c r="C78" s="34" t="s">
        <v>120</v>
      </c>
      <c r="D78" s="34" t="s">
        <v>121</v>
      </c>
      <c r="E78" s="34" t="s">
        <v>288</v>
      </c>
      <c r="F78" s="34" t="s">
        <v>289</v>
      </c>
      <c r="G78" s="34" t="s">
        <v>290</v>
      </c>
    </row>
    <row r="79" customFormat="false" ht="15" hidden="false" customHeight="false" outlineLevel="0" collapsed="false">
      <c r="B79" s="8" t="s">
        <v>98</v>
      </c>
      <c r="C79" s="13" t="n">
        <v>2.5</v>
      </c>
      <c r="D79" s="15" t="n">
        <v>0.3</v>
      </c>
      <c r="E79" s="15" t="n">
        <v>0.9</v>
      </c>
      <c r="F79" s="15" t="n">
        <v>0.95</v>
      </c>
      <c r="G79" s="15" t="n">
        <v>0.9</v>
      </c>
    </row>
    <row r="80" customFormat="false" ht="15" hidden="false" customHeight="false" outlineLevel="0" collapsed="false">
      <c r="B80" s="8" t="s">
        <v>291</v>
      </c>
      <c r="C80" s="13" t="n">
        <v>3.8</v>
      </c>
      <c r="D80" s="15" t="n">
        <v>0.6</v>
      </c>
      <c r="E80" s="15" t="n">
        <v>0.85</v>
      </c>
      <c r="F80" s="15" t="n">
        <v>0.9</v>
      </c>
      <c r="G80" s="15" t="n">
        <v>0.85</v>
      </c>
    </row>
    <row r="81" customFormat="false" ht="15" hidden="false" customHeight="false" outlineLevel="0" collapsed="false">
      <c r="B81" s="8" t="s">
        <v>292</v>
      </c>
      <c r="C81" s="13" t="n">
        <v>5</v>
      </c>
      <c r="D81" s="15" t="n">
        <v>0.6</v>
      </c>
      <c r="E81" s="15" t="n">
        <v>0.95</v>
      </c>
      <c r="F81" s="15" t="n">
        <v>0.95</v>
      </c>
      <c r="G81" s="15" t="n">
        <v>0.9</v>
      </c>
    </row>
    <row r="82" customFormat="false" ht="15" hidden="false" customHeight="false" outlineLevel="0" collapsed="false">
      <c r="B82" s="8" t="s">
        <v>293</v>
      </c>
      <c r="C82" s="13" t="n">
        <v>3.8</v>
      </c>
      <c r="D82" s="15" t="n">
        <v>0.9</v>
      </c>
      <c r="E82" s="15" t="n">
        <v>0.8</v>
      </c>
      <c r="F82" s="15" t="n">
        <v>0.95</v>
      </c>
      <c r="G82" s="15" t="n">
        <v>0.9</v>
      </c>
    </row>
    <row r="83" customFormat="false" ht="15" hidden="false" customHeight="false" outlineLevel="0" collapsed="false">
      <c r="B83" s="8" t="s">
        <v>294</v>
      </c>
      <c r="C83" s="13" t="n">
        <v>2.5</v>
      </c>
      <c r="D83" s="15" t="n">
        <v>0.3</v>
      </c>
      <c r="E83" s="15" t="n">
        <v>0.7</v>
      </c>
      <c r="F83" s="15" t="n">
        <v>0.95</v>
      </c>
      <c r="G83" s="15" t="n">
        <v>0.7</v>
      </c>
    </row>
    <row r="84" customFormat="false" ht="15" hidden="false" customHeight="false" outlineLevel="0" collapsed="false">
      <c r="B84" s="8" t="s">
        <v>295</v>
      </c>
      <c r="C84" s="13" t="n">
        <v>0</v>
      </c>
      <c r="D84" s="15" t="n">
        <v>0.3</v>
      </c>
      <c r="E84" s="15" t="n">
        <v>0.5</v>
      </c>
      <c r="F84" s="15" t="n">
        <v>0.9</v>
      </c>
      <c r="G84" s="15" t="n">
        <v>0.5</v>
      </c>
    </row>
    <row r="85" customFormat="false" ht="15" hidden="false" customHeight="false" outlineLevel="0" collapsed="false">
      <c r="B85" s="8" t="s">
        <v>296</v>
      </c>
      <c r="C85" s="13" t="n">
        <v>0</v>
      </c>
      <c r="D85" s="15" t="n">
        <v>0.3</v>
      </c>
      <c r="E85" s="15" t="n">
        <v>0.1</v>
      </c>
      <c r="F85" s="15" t="n">
        <v>0.9</v>
      </c>
      <c r="G85" s="15" t="n">
        <v>1</v>
      </c>
    </row>
    <row r="86" customFormat="false" ht="15" hidden="false" customHeight="false" outlineLevel="0" collapsed="false">
      <c r="B86" s="8" t="s">
        <v>297</v>
      </c>
      <c r="C86" s="13" t="n">
        <v>2.5</v>
      </c>
      <c r="D86" s="15" t="n">
        <v>0.15</v>
      </c>
      <c r="E86" s="15" t="n">
        <v>0.8</v>
      </c>
      <c r="F86" s="15" t="n">
        <v>0.85</v>
      </c>
      <c r="G86" s="15" t="n">
        <v>0.7</v>
      </c>
    </row>
    <row r="87" customFormat="false" ht="15" hidden="false" customHeight="false" outlineLevel="0" collapsed="false">
      <c r="B87" s="8" t="s">
        <v>298</v>
      </c>
      <c r="C87" s="13" t="n">
        <v>2.5</v>
      </c>
      <c r="D87" s="15" t="n">
        <v>0.3</v>
      </c>
      <c r="E87" s="15" t="n">
        <v>0.6</v>
      </c>
      <c r="F87" s="15" t="n">
        <v>0.9</v>
      </c>
      <c r="G87" s="15" t="n">
        <v>0.5</v>
      </c>
    </row>
    <row r="88" customFormat="false" ht="15" hidden="false" customHeight="false" outlineLevel="0" collapsed="false">
      <c r="B88" s="8" t="s">
        <v>299</v>
      </c>
      <c r="C88" s="13" t="n">
        <v>5</v>
      </c>
      <c r="D88" s="15" t="n">
        <v>0.9</v>
      </c>
      <c r="E88" s="15" t="n">
        <v>0.95</v>
      </c>
      <c r="F88" s="15" t="n">
        <v>1</v>
      </c>
      <c r="G88" s="15" t="n">
        <v>0.85</v>
      </c>
    </row>
    <row r="90" customFormat="false" ht="15" hidden="false" customHeight="false" outlineLevel="0" collapsed="false">
      <c r="B90" s="4" t="s">
        <v>300</v>
      </c>
      <c r="C90" s="4"/>
      <c r="D90" s="4"/>
      <c r="E90" s="4"/>
      <c r="F90" s="4"/>
    </row>
    <row r="91" customFormat="false" ht="15" hidden="false" customHeight="false" outlineLevel="0" collapsed="false">
      <c r="B91" s="34" t="s">
        <v>119</v>
      </c>
      <c r="C91" s="34" t="s">
        <v>301</v>
      </c>
      <c r="D91" s="34" t="s">
        <v>302</v>
      </c>
      <c r="E91" s="34" t="s">
        <v>303</v>
      </c>
    </row>
    <row r="92" customFormat="false" ht="15" hidden="false" customHeight="false" outlineLevel="0" collapsed="false">
      <c r="B92" s="14" t="n">
        <v>12</v>
      </c>
      <c r="C92" s="15" t="n">
        <v>0.72</v>
      </c>
      <c r="D92" s="15" t="n">
        <v>0.58</v>
      </c>
      <c r="E92" s="15" t="n">
        <v>0.48</v>
      </c>
    </row>
    <row r="93" customFormat="false" ht="15" hidden="false" customHeight="false" outlineLevel="0" collapsed="false">
      <c r="B93" s="14" t="n">
        <v>16</v>
      </c>
      <c r="C93" s="15" t="n">
        <v>0.8</v>
      </c>
      <c r="D93" s="15" t="n">
        <v>0.66</v>
      </c>
      <c r="E93" s="15" t="n">
        <v>0.55</v>
      </c>
    </row>
    <row r="94" customFormat="false" ht="15" hidden="false" customHeight="false" outlineLevel="0" collapsed="false">
      <c r="B94" s="14" t="n">
        <v>24</v>
      </c>
      <c r="C94" s="15" t="n">
        <v>0.88</v>
      </c>
      <c r="D94" s="15" t="n">
        <v>0.78</v>
      </c>
      <c r="E94" s="15" t="n">
        <v>0.7</v>
      </c>
    </row>
    <row r="96" customFormat="false" ht="15" hidden="false" customHeight="false" outlineLevel="0" collapsed="false">
      <c r="B96" s="4" t="s">
        <v>304</v>
      </c>
      <c r="C96" s="4"/>
      <c r="D96" s="4"/>
      <c r="E96" s="4"/>
      <c r="F96" s="4"/>
    </row>
    <row r="97" customFormat="false" ht="15" hidden="false" customHeight="false" outlineLevel="0" collapsed="false">
      <c r="B97" s="34" t="s">
        <v>119</v>
      </c>
      <c r="C97" s="34" t="s">
        <v>301</v>
      </c>
      <c r="D97" s="34" t="s">
        <v>302</v>
      </c>
      <c r="E97" s="34" t="s">
        <v>303</v>
      </c>
    </row>
    <row r="98" customFormat="false" ht="15" hidden="false" customHeight="false" outlineLevel="0" collapsed="false">
      <c r="B98" s="14" t="n">
        <v>12</v>
      </c>
      <c r="C98" s="15" t="n">
        <v>0.55</v>
      </c>
      <c r="D98" s="15" t="n">
        <v>0.5</v>
      </c>
      <c r="E98" s="15" t="n">
        <v>0.45</v>
      </c>
    </row>
    <row r="99" customFormat="false" ht="15" hidden="false" customHeight="false" outlineLevel="0" collapsed="false">
      <c r="B99" s="14" t="n">
        <v>16</v>
      </c>
      <c r="C99" s="15" t="n">
        <v>0.75</v>
      </c>
      <c r="D99" s="15" t="n">
        <v>0.7</v>
      </c>
      <c r="E99" s="15" t="n">
        <v>0.65</v>
      </c>
    </row>
    <row r="100" customFormat="false" ht="15" hidden="false" customHeight="false" outlineLevel="0" collapsed="false">
      <c r="B100" s="14" t="n">
        <v>24</v>
      </c>
      <c r="C100" s="15" t="n">
        <v>1</v>
      </c>
      <c r="D100" s="15" t="n">
        <v>0.95</v>
      </c>
      <c r="E100" s="15" t="n">
        <v>0.9</v>
      </c>
    </row>
    <row r="102" customFormat="false" ht="15" hidden="false" customHeight="false" outlineLevel="0" collapsed="false">
      <c r="B102" s="4" t="s">
        <v>305</v>
      </c>
      <c r="C102" s="4"/>
      <c r="D102" s="4"/>
    </row>
    <row r="103" customFormat="false" ht="15" hidden="false" customHeight="false" outlineLevel="0" collapsed="false">
      <c r="B103" s="34" t="s">
        <v>119</v>
      </c>
      <c r="C103" s="34" t="s">
        <v>306</v>
      </c>
      <c r="D103" s="34" t="s">
        <v>307</v>
      </c>
    </row>
    <row r="104" customFormat="false" ht="15" hidden="false" customHeight="false" outlineLevel="0" collapsed="false">
      <c r="B104" s="14" t="n">
        <v>12</v>
      </c>
      <c r="C104" s="15" t="n">
        <v>0.85</v>
      </c>
      <c r="D104" s="15" t="n">
        <v>0.85</v>
      </c>
    </row>
    <row r="105" customFormat="false" ht="15" hidden="false" customHeight="false" outlineLevel="0" collapsed="false">
      <c r="B105" s="14" t="n">
        <v>16</v>
      </c>
      <c r="C105" s="15" t="n">
        <v>0.9</v>
      </c>
      <c r="D105" s="15" t="n">
        <v>0.9</v>
      </c>
    </row>
    <row r="106" customFormat="false" ht="15" hidden="false" customHeight="false" outlineLevel="0" collapsed="false">
      <c r="B106" s="14" t="n">
        <v>24</v>
      </c>
      <c r="C106" s="15" t="n">
        <v>0.95</v>
      </c>
      <c r="D106" s="15" t="n">
        <v>1</v>
      </c>
    </row>
    <row r="108" customFormat="false" ht="15" hidden="false" customHeight="false" outlineLevel="0" collapsed="false">
      <c r="B108" s="4" t="s">
        <v>308</v>
      </c>
      <c r="C108" s="4"/>
      <c r="D108" s="4"/>
      <c r="E108" s="4"/>
      <c r="F108" s="4"/>
      <c r="G108" s="4"/>
      <c r="H108" s="4"/>
      <c r="I108" s="4"/>
      <c r="J108" s="4"/>
    </row>
    <row r="109" customFormat="false" ht="15" hidden="false" customHeight="false" outlineLevel="0" collapsed="false">
      <c r="B109" s="34" t="s">
        <v>309</v>
      </c>
      <c r="C109" s="34" t="s">
        <v>310</v>
      </c>
      <c r="D109" s="34" t="s">
        <v>311</v>
      </c>
      <c r="E109" s="34" t="s">
        <v>312</v>
      </c>
      <c r="F109" s="34" t="s">
        <v>313</v>
      </c>
      <c r="G109" s="34" t="s">
        <v>314</v>
      </c>
      <c r="H109" s="34" t="s">
        <v>315</v>
      </c>
      <c r="I109" s="34" t="s">
        <v>316</v>
      </c>
      <c r="J109" s="34" t="s">
        <v>317</v>
      </c>
    </row>
    <row r="110" customFormat="false" ht="15" hidden="false" customHeight="false" outlineLevel="0" collapsed="false">
      <c r="B110" s="8" t="s">
        <v>318</v>
      </c>
      <c r="C110" s="13" t="n">
        <v>7.8</v>
      </c>
      <c r="D110" s="13" t="n">
        <v>7.8</v>
      </c>
      <c r="E110" s="13" t="n">
        <v>7.8</v>
      </c>
      <c r="F110" s="13" t="n">
        <v>8.9</v>
      </c>
      <c r="G110" s="13" t="n">
        <v>14.4</v>
      </c>
      <c r="H110" s="13" t="n">
        <v>25</v>
      </c>
      <c r="I110" s="13" t="n">
        <v>22.2</v>
      </c>
      <c r="J110" s="13" t="n">
        <v>18.3</v>
      </c>
    </row>
    <row r="111" customFormat="false" ht="15" hidden="false" customHeight="false" outlineLevel="0" collapsed="false">
      <c r="B111" s="8" t="s">
        <v>319</v>
      </c>
      <c r="C111" s="14" t="n">
        <v>120</v>
      </c>
      <c r="D111" s="14" t="n">
        <v>520</v>
      </c>
      <c r="E111" s="14" t="n">
        <v>650</v>
      </c>
      <c r="F111" s="14" t="n">
        <v>580</v>
      </c>
      <c r="G111" s="14" t="n">
        <v>400</v>
      </c>
      <c r="H111" s="14" t="n">
        <v>620</v>
      </c>
      <c r="I111" s="14" t="n">
        <v>680</v>
      </c>
      <c r="J111" s="14" t="n">
        <v>480</v>
      </c>
    </row>
    <row r="112" customFormat="false" ht="15" hidden="false" customHeight="false" outlineLevel="0" collapsed="false">
      <c r="B112" s="8" t="s">
        <v>320</v>
      </c>
      <c r="C112" s="13" t="n">
        <v>9.5</v>
      </c>
      <c r="D112" s="13" t="n">
        <v>14.5</v>
      </c>
      <c r="E112" s="13" t="n">
        <v>18.5</v>
      </c>
      <c r="F112" s="13" t="n">
        <v>17</v>
      </c>
      <c r="G112" s="13" t="n">
        <v>15.5</v>
      </c>
      <c r="H112" s="13" t="n">
        <v>25.5</v>
      </c>
      <c r="I112" s="13" t="n">
        <v>23.5</v>
      </c>
      <c r="J112" s="13" t="n">
        <v>19</v>
      </c>
    </row>
    <row r="114" customFormat="false" ht="15" hidden="false" customHeight="false" outlineLevel="0" collapsed="false">
      <c r="B114" s="8" t="s">
        <v>321</v>
      </c>
      <c r="C114" s="13" t="n">
        <v>7.8</v>
      </c>
    </row>
    <row r="115" customFormat="false" ht="15" hidden="false" customHeight="false" outlineLevel="0" collapsed="false">
      <c r="B115" s="8" t="s">
        <v>322</v>
      </c>
      <c r="C115" s="13" t="n">
        <v>23.9</v>
      </c>
    </row>
    <row r="117" customFormat="false" ht="15" hidden="false" customHeight="false" outlineLevel="0" collapsed="false">
      <c r="B117" s="4" t="s">
        <v>323</v>
      </c>
      <c r="C117" s="4"/>
      <c r="D117" s="4"/>
      <c r="E117" s="4"/>
      <c r="F117" s="4"/>
      <c r="G117" s="4"/>
      <c r="H117" s="4"/>
      <c r="I117" s="4"/>
      <c r="J117" s="4"/>
    </row>
    <row r="118" customFormat="false" ht="15" hidden="false" customHeight="false" outlineLevel="0" collapsed="false">
      <c r="B118" s="34" t="s">
        <v>158</v>
      </c>
      <c r="C118" s="34" t="s">
        <v>310</v>
      </c>
      <c r="D118" s="34" t="s">
        <v>311</v>
      </c>
      <c r="E118" s="34" t="s">
        <v>312</v>
      </c>
      <c r="F118" s="34" t="s">
        <v>313</v>
      </c>
      <c r="G118" s="34" t="s">
        <v>314</v>
      </c>
      <c r="H118" s="34" t="s">
        <v>315</v>
      </c>
      <c r="I118" s="34" t="s">
        <v>316</v>
      </c>
      <c r="J118" s="34" t="s">
        <v>317</v>
      </c>
    </row>
    <row r="119" customFormat="false" ht="15" hidden="false" customHeight="false" outlineLevel="0" collapsed="false">
      <c r="B119" s="14" t="n">
        <v>8</v>
      </c>
      <c r="C119" s="15" t="n">
        <v>0.42</v>
      </c>
      <c r="D119" s="15" t="n">
        <v>1</v>
      </c>
      <c r="E119" s="15" t="n">
        <v>1</v>
      </c>
      <c r="F119" s="15" t="n">
        <v>0.72</v>
      </c>
      <c r="G119" s="15" t="n">
        <v>0.3</v>
      </c>
      <c r="H119" s="15" t="n">
        <v>0.19</v>
      </c>
      <c r="I119" s="15" t="n">
        <v>0.14</v>
      </c>
      <c r="J119" s="15" t="n">
        <v>0.11</v>
      </c>
    </row>
    <row r="120" customFormat="false" ht="15" hidden="false" customHeight="false" outlineLevel="0" collapsed="false">
      <c r="B120" s="14" t="n">
        <v>9</v>
      </c>
      <c r="C120" s="15" t="n">
        <v>0.55</v>
      </c>
      <c r="D120" s="15" t="n">
        <v>0.82</v>
      </c>
      <c r="E120" s="15" t="n">
        <v>0.95</v>
      </c>
      <c r="F120" s="15" t="n">
        <v>0.92</v>
      </c>
      <c r="G120" s="15" t="n">
        <v>0.52</v>
      </c>
      <c r="H120" s="15" t="n">
        <v>0.21</v>
      </c>
      <c r="I120" s="15" t="n">
        <v>0.15</v>
      </c>
      <c r="J120" s="15" t="n">
        <v>0.12</v>
      </c>
    </row>
    <row r="121" customFormat="false" ht="15" hidden="false" customHeight="false" outlineLevel="0" collapsed="false">
      <c r="B121" s="14" t="n">
        <v>10</v>
      </c>
      <c r="C121" s="15" t="n">
        <v>0.68</v>
      </c>
      <c r="D121" s="15" t="n">
        <v>0.55</v>
      </c>
      <c r="E121" s="15" t="n">
        <v>0.74</v>
      </c>
      <c r="F121" s="15" t="n">
        <v>1</v>
      </c>
      <c r="G121" s="15" t="n">
        <v>0.76</v>
      </c>
      <c r="H121" s="15" t="n">
        <v>0.25</v>
      </c>
      <c r="I121" s="15" t="n">
        <v>0.16</v>
      </c>
      <c r="J121" s="15" t="n">
        <v>0.13</v>
      </c>
    </row>
    <row r="122" customFormat="false" ht="15" hidden="false" customHeight="false" outlineLevel="0" collapsed="false">
      <c r="B122" s="14" t="n">
        <v>11</v>
      </c>
      <c r="C122" s="15" t="n">
        <v>0.8</v>
      </c>
      <c r="D122" s="15" t="n">
        <v>0.28</v>
      </c>
      <c r="E122" s="15" t="n">
        <v>0.44</v>
      </c>
      <c r="F122" s="15" t="n">
        <v>0.93</v>
      </c>
      <c r="G122" s="15" t="n">
        <v>0.93</v>
      </c>
      <c r="H122" s="15" t="n">
        <v>0.43</v>
      </c>
      <c r="I122" s="15" t="n">
        <v>0.18</v>
      </c>
      <c r="J122" s="15" t="n">
        <v>0.15</v>
      </c>
    </row>
    <row r="123" customFormat="false" ht="15" hidden="false" customHeight="false" outlineLevel="0" collapsed="false">
      <c r="B123" s="14" t="n">
        <v>12</v>
      </c>
      <c r="C123" s="15" t="n">
        <v>0.88</v>
      </c>
      <c r="D123" s="15" t="n">
        <v>0.16</v>
      </c>
      <c r="E123" s="15" t="n">
        <v>0.21</v>
      </c>
      <c r="F123" s="15" t="n">
        <v>0.7</v>
      </c>
      <c r="G123" s="15" t="n">
        <v>1</v>
      </c>
      <c r="H123" s="15" t="n">
        <v>0.7</v>
      </c>
      <c r="I123" s="15" t="n">
        <v>0.22</v>
      </c>
      <c r="J123" s="15" t="n">
        <v>0.18</v>
      </c>
    </row>
    <row r="124" customFormat="false" ht="15" hidden="false" customHeight="false" outlineLevel="0" collapsed="false">
      <c r="B124" s="14" t="n">
        <v>13</v>
      </c>
      <c r="C124" s="15" t="n">
        <v>0.84</v>
      </c>
      <c r="D124" s="15" t="n">
        <v>0.14</v>
      </c>
      <c r="E124" s="15" t="n">
        <v>0.17</v>
      </c>
      <c r="F124" s="15" t="n">
        <v>0.43</v>
      </c>
      <c r="G124" s="15" t="n">
        <v>0.93</v>
      </c>
      <c r="H124" s="15" t="n">
        <v>0.93</v>
      </c>
      <c r="I124" s="15" t="n">
        <v>0.46</v>
      </c>
      <c r="J124" s="15" t="n">
        <v>0.22</v>
      </c>
    </row>
    <row r="125" customFormat="false" ht="15" hidden="false" customHeight="false" outlineLevel="0" collapsed="false">
      <c r="B125" s="14" t="n">
        <v>14</v>
      </c>
      <c r="C125" s="15" t="n">
        <v>0.78</v>
      </c>
      <c r="D125" s="15" t="n">
        <v>0.13</v>
      </c>
      <c r="E125" s="15" t="n">
        <v>0.16</v>
      </c>
      <c r="F125" s="15" t="n">
        <v>0.25</v>
      </c>
      <c r="G125" s="15" t="n">
        <v>0.76</v>
      </c>
      <c r="H125" s="15" t="n">
        <v>1</v>
      </c>
      <c r="I125" s="15" t="n">
        <v>0.74</v>
      </c>
      <c r="J125" s="15" t="n">
        <v>0.4</v>
      </c>
    </row>
    <row r="126" customFormat="false" ht="15" hidden="false" customHeight="false" outlineLevel="0" collapsed="false">
      <c r="B126" s="14" t="n">
        <v>15</v>
      </c>
      <c r="C126" s="15" t="n">
        <v>0.7</v>
      </c>
      <c r="D126" s="15" t="n">
        <v>0.12</v>
      </c>
      <c r="E126" s="15" t="n">
        <v>0.15</v>
      </c>
      <c r="F126" s="15" t="n">
        <v>0.21</v>
      </c>
      <c r="G126" s="15" t="n">
        <v>0.52</v>
      </c>
      <c r="H126" s="15" t="n">
        <v>0.96</v>
      </c>
      <c r="I126" s="15" t="n">
        <v>0.93</v>
      </c>
      <c r="J126" s="15" t="n">
        <v>0.68</v>
      </c>
    </row>
    <row r="127" customFormat="false" ht="15" hidden="false" customHeight="false" outlineLevel="0" collapsed="false">
      <c r="B127" s="14" t="n">
        <v>16</v>
      </c>
      <c r="C127" s="15" t="n">
        <v>0.62</v>
      </c>
      <c r="D127" s="15" t="n">
        <v>0.11</v>
      </c>
      <c r="E127" s="15" t="n">
        <v>0.14</v>
      </c>
      <c r="F127" s="15" t="n">
        <v>0.19</v>
      </c>
      <c r="G127" s="15" t="n">
        <v>0.34</v>
      </c>
      <c r="H127" s="15" t="n">
        <v>0.82</v>
      </c>
      <c r="I127" s="15" t="n">
        <v>1</v>
      </c>
      <c r="J127" s="15" t="n">
        <v>0.92</v>
      </c>
    </row>
    <row r="128" customFormat="false" ht="15" hidden="false" customHeight="false" outlineLevel="0" collapsed="false">
      <c r="B128" s="14" t="n">
        <v>17</v>
      </c>
      <c r="C128" s="15" t="n">
        <v>0.55</v>
      </c>
      <c r="D128" s="15" t="n">
        <v>0.1</v>
      </c>
      <c r="E128" s="15" t="n">
        <v>0.12</v>
      </c>
      <c r="F128" s="15" t="n">
        <v>0.16</v>
      </c>
      <c r="G128" s="15" t="n">
        <v>0.22</v>
      </c>
      <c r="H128" s="15" t="n">
        <v>0.55</v>
      </c>
      <c r="I128" s="15" t="n">
        <v>0.86</v>
      </c>
      <c r="J128" s="15" t="n">
        <v>1</v>
      </c>
    </row>
    <row r="129" customFormat="false" ht="15" hidden="false" customHeight="false" outlineLevel="0" collapsed="false">
      <c r="B129" s="14" t="n">
        <v>18</v>
      </c>
      <c r="C129" s="15" t="n">
        <v>0.48</v>
      </c>
      <c r="D129" s="15" t="n">
        <v>0.08</v>
      </c>
      <c r="E129" s="15" t="n">
        <v>0.1</v>
      </c>
      <c r="F129" s="15" t="n">
        <v>0.12</v>
      </c>
      <c r="G129" s="15" t="n">
        <v>0.14</v>
      </c>
      <c r="H129" s="15" t="n">
        <v>0.26</v>
      </c>
      <c r="I129" s="15" t="n">
        <v>0.44</v>
      </c>
      <c r="J129" s="15" t="n">
        <v>0.58</v>
      </c>
    </row>
    <row r="131" customFormat="false" ht="15" hidden="false" customHeight="false" outlineLevel="0" collapsed="false">
      <c r="B131" s="4" t="s">
        <v>324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customFormat="false" ht="15" hidden="false" customHeight="false" outlineLevel="0" collapsed="false">
      <c r="B132" s="34" t="s">
        <v>158</v>
      </c>
      <c r="C132" s="37" t="n">
        <v>8</v>
      </c>
      <c r="D132" s="37" t="n">
        <v>9</v>
      </c>
      <c r="E132" s="37" t="n">
        <v>10</v>
      </c>
      <c r="F132" s="37" t="n">
        <v>11</v>
      </c>
      <c r="G132" s="37" t="n">
        <v>12</v>
      </c>
      <c r="H132" s="37" t="n">
        <v>13</v>
      </c>
      <c r="I132" s="37" t="n">
        <v>14</v>
      </c>
      <c r="J132" s="37" t="n">
        <v>15</v>
      </c>
      <c r="K132" s="37" t="n">
        <v>16</v>
      </c>
      <c r="L132" s="37" t="n">
        <v>17</v>
      </c>
      <c r="M132" s="37" t="n">
        <v>18</v>
      </c>
    </row>
    <row r="133" customFormat="false" ht="15" hidden="false" customHeight="false" outlineLevel="0" collapsed="false">
      <c r="B133" s="8" t="s">
        <v>325</v>
      </c>
      <c r="C133" s="15" t="n">
        <v>0.38</v>
      </c>
      <c r="D133" s="15" t="n">
        <v>0.56</v>
      </c>
      <c r="E133" s="15" t="n">
        <v>0.74</v>
      </c>
      <c r="F133" s="15" t="n">
        <v>0.89</v>
      </c>
      <c r="G133" s="15" t="n">
        <v>1</v>
      </c>
      <c r="H133" s="15" t="n">
        <v>1</v>
      </c>
      <c r="I133" s="15" t="n">
        <v>0.93</v>
      </c>
      <c r="J133" s="15" t="n">
        <v>0.8</v>
      </c>
      <c r="K133" s="15" t="n">
        <v>0.64</v>
      </c>
      <c r="L133" s="15" t="n">
        <v>0.46</v>
      </c>
      <c r="M133" s="15" t="n">
        <v>0.28</v>
      </c>
    </row>
    <row r="134" customFormat="false" ht="15" hidden="false" customHeight="false" outlineLevel="0" collapsed="false">
      <c r="B134" s="8" t="s">
        <v>326</v>
      </c>
      <c r="C134" s="15" t="n">
        <v>0.71</v>
      </c>
      <c r="D134" s="15" t="n">
        <v>0.57</v>
      </c>
      <c r="E134" s="15" t="n">
        <v>0.43</v>
      </c>
      <c r="F134" s="15" t="n">
        <v>0.28</v>
      </c>
      <c r="G134" s="15" t="n">
        <v>0.15</v>
      </c>
      <c r="H134" s="15" t="n">
        <v>0.07</v>
      </c>
      <c r="I134" s="15" t="n">
        <v>0.02</v>
      </c>
      <c r="J134" s="15" t="n">
        <v>0.01</v>
      </c>
      <c r="K134" s="15" t="n">
        <v>0</v>
      </c>
      <c r="L134" s="15" t="n">
        <v>0.04</v>
      </c>
      <c r="M134" s="15" t="n">
        <v>0.12</v>
      </c>
    </row>
    <row r="136" customFormat="false" ht="15" hidden="false" customHeight="false" outlineLevel="0" collapsed="false">
      <c r="B136" s="4" t="s">
        <v>327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customFormat="false" ht="15" hidden="false" customHeight="false" outlineLevel="0" collapsed="false">
      <c r="B137" s="8" t="s">
        <v>328</v>
      </c>
      <c r="C137" s="13" t="n">
        <f aca="false">Proyecto!$C$25-Proyecto!$C$35</f>
        <v>11</v>
      </c>
    </row>
    <row r="138" customFormat="false" ht="15" hidden="false" customHeight="false" outlineLevel="0" collapsed="false">
      <c r="B138" s="8" t="s">
        <v>329</v>
      </c>
      <c r="C138" s="13" t="n">
        <f aca="false">Proyecto!$C$25-Proyecto!$C$28*C$134</f>
        <v>27.19</v>
      </c>
      <c r="D138" s="13" t="n">
        <f aca="false">Proyecto!$C$25-Proyecto!$C$28*D$134</f>
        <v>28.73</v>
      </c>
      <c r="E138" s="13" t="n">
        <f aca="false">Proyecto!$C$25-Proyecto!$C$28*E$134</f>
        <v>30.27</v>
      </c>
      <c r="F138" s="13" t="n">
        <f aca="false">Proyecto!$C$25-Proyecto!$C$28*F$134</f>
        <v>31.92</v>
      </c>
      <c r="G138" s="13" t="n">
        <f aca="false">Proyecto!$C$25-Proyecto!$C$28*G$134</f>
        <v>33.35</v>
      </c>
      <c r="H138" s="13" t="n">
        <f aca="false">Proyecto!$C$25-Proyecto!$C$28*H$134</f>
        <v>34.23</v>
      </c>
      <c r="I138" s="13" t="n">
        <f aca="false">Proyecto!$C$25-Proyecto!$C$28*I$134</f>
        <v>34.78</v>
      </c>
      <c r="J138" s="13" t="n">
        <f aca="false">Proyecto!$C$25-Proyecto!$C$28*J$134</f>
        <v>34.89</v>
      </c>
      <c r="K138" s="13" t="n">
        <f aca="false">Proyecto!$C$25-Proyecto!$C$28*K$134</f>
        <v>35</v>
      </c>
      <c r="L138" s="13" t="n">
        <f aca="false">Proyecto!$C$25-Proyecto!$C$28*L$134</f>
        <v>34.56</v>
      </c>
      <c r="M138" s="13" t="n">
        <f aca="false">Proyecto!$C$25-Proyecto!$C$28*M$134</f>
        <v>33.68</v>
      </c>
    </row>
    <row r="139" customFormat="false" ht="15" hidden="false" customHeight="false" outlineLevel="0" collapsed="false">
      <c r="B139" s="8" t="s">
        <v>330</v>
      </c>
      <c r="C139" s="13" t="n">
        <f aca="false">C$138-Proyecto!$C$35</f>
        <v>3.19</v>
      </c>
      <c r="D139" s="13" t="n">
        <f aca="false">D$138-Proyecto!$C$35</f>
        <v>4.73</v>
      </c>
      <c r="E139" s="13" t="n">
        <f aca="false">E$138-Proyecto!$C$35</f>
        <v>6.27</v>
      </c>
      <c r="F139" s="13" t="n">
        <f aca="false">F$138-Proyecto!$C$35</f>
        <v>7.92</v>
      </c>
      <c r="G139" s="13" t="n">
        <f aca="false">G$138-Proyecto!$C$35</f>
        <v>9.35</v>
      </c>
      <c r="H139" s="13" t="n">
        <f aca="false">H$138-Proyecto!$C$35</f>
        <v>10.23</v>
      </c>
      <c r="I139" s="13" t="n">
        <f aca="false">I$138-Proyecto!$C$35</f>
        <v>10.78</v>
      </c>
      <c r="J139" s="13" t="n">
        <f aca="false">J$138-Proyecto!$C$35</f>
        <v>10.89</v>
      </c>
      <c r="K139" s="13" t="n">
        <f aca="false">K$138-Proyecto!$C$35</f>
        <v>11</v>
      </c>
      <c r="L139" s="13" t="n">
        <f aca="false">L$138-Proyecto!$C$35</f>
        <v>10.56</v>
      </c>
      <c r="M139" s="13" t="n">
        <f aca="false">M$138-Proyecto!$C$35</f>
        <v>9.68</v>
      </c>
    </row>
    <row r="140" customFormat="false" ht="15" hidden="false" customHeight="false" outlineLevel="0" collapsed="false">
      <c r="B140" s="8" t="s">
        <v>331</v>
      </c>
      <c r="C140" s="15" t="n">
        <f aca="false">IF($C$137&lt;=0,$C$114,$C$114*MAX(0,C$139/$C$137))</f>
        <v>2.262</v>
      </c>
      <c r="D140" s="15" t="n">
        <f aca="false">IF($C$137&lt;=0,$C$114,$C$114*MAX(0,D$139/$C$137))</f>
        <v>3.354</v>
      </c>
      <c r="E140" s="15" t="n">
        <f aca="false">IF($C$137&lt;=0,$C$114,$C$114*MAX(0,E$139/$C$137))</f>
        <v>4.446</v>
      </c>
      <c r="F140" s="15" t="n">
        <f aca="false">IF($C$137&lt;=0,$C$114,$C$114*MAX(0,F$139/$C$137))</f>
        <v>5.616</v>
      </c>
      <c r="G140" s="15" t="n">
        <f aca="false">IF($C$137&lt;=0,$C$114,$C$114*MAX(0,G$139/$C$137))</f>
        <v>6.63</v>
      </c>
      <c r="H140" s="15" t="n">
        <f aca="false">IF($C$137&lt;=0,$C$114,$C$114*MAX(0,H$139/$C$137))</f>
        <v>7.254</v>
      </c>
      <c r="I140" s="15" t="n">
        <f aca="false">IF($C$137&lt;=0,$C$114,$C$114*MAX(0,I$139/$C$137))</f>
        <v>7.644</v>
      </c>
      <c r="J140" s="15" t="n">
        <f aca="false">IF($C$137&lt;=0,$C$114,$C$114*MAX(0,J$139/$C$137))</f>
        <v>7.722</v>
      </c>
      <c r="K140" s="15" t="n">
        <f aca="false">IF($C$137&lt;=0,$C$114,$C$114*MAX(0,K$139/$C$137))</f>
        <v>7.8</v>
      </c>
      <c r="L140" s="15" t="n">
        <f aca="false">IF($C$137&lt;=0,$C$114,$C$114*MAX(0,L$139/$C$137))</f>
        <v>7.488</v>
      </c>
      <c r="M140" s="15" t="n">
        <f aca="false">IF($C$137&lt;=0,$C$114,$C$114*MAX(0,M$139/$C$137))</f>
        <v>6.864</v>
      </c>
    </row>
    <row r="142" customFormat="false" ht="15" hidden="false" customHeight="false" outlineLevel="0" collapsed="false">
      <c r="B142" s="4" t="s">
        <v>332</v>
      </c>
      <c r="C142" s="4"/>
      <c r="D142" s="4"/>
      <c r="E142" s="4"/>
      <c r="F142" s="4"/>
      <c r="G142" s="4"/>
      <c r="H142" s="4"/>
      <c r="I142" s="4"/>
      <c r="J142" s="4"/>
    </row>
    <row r="143" customFormat="false" ht="15" hidden="false" customHeight="false" outlineLevel="0" collapsed="false">
      <c r="B143" s="34" t="s">
        <v>158</v>
      </c>
      <c r="C143" s="34" t="s">
        <v>310</v>
      </c>
      <c r="D143" s="34" t="s">
        <v>311</v>
      </c>
      <c r="E143" s="34" t="s">
        <v>312</v>
      </c>
      <c r="F143" s="34" t="s">
        <v>313</v>
      </c>
      <c r="G143" s="34" t="s">
        <v>314</v>
      </c>
      <c r="H143" s="34" t="s">
        <v>315</v>
      </c>
      <c r="I143" s="34" t="s">
        <v>316</v>
      </c>
      <c r="J143" s="34" t="s">
        <v>317</v>
      </c>
    </row>
    <row r="144" customFormat="false" ht="15" hidden="false" customHeight="false" outlineLevel="0" collapsed="false">
      <c r="B144" s="14" t="n">
        <v>8</v>
      </c>
      <c r="C144" s="16" t="n">
        <f aca="false">C$119*0.6+C$119*0.4</f>
        <v>0.42</v>
      </c>
      <c r="D144" s="16" t="n">
        <f aca="false">D$119*0.6+D$119*0.4</f>
        <v>1</v>
      </c>
      <c r="E144" s="16" t="n">
        <f aca="false">E$119*0.6+E$119*0.4</f>
        <v>1</v>
      </c>
      <c r="F144" s="16" t="n">
        <f aca="false">F$119*0.6+F$119*0.4</f>
        <v>0.72</v>
      </c>
      <c r="G144" s="16" t="n">
        <f aca="false">G$119*0.6+G$119*0.4</f>
        <v>0.3</v>
      </c>
      <c r="H144" s="16" t="n">
        <f aca="false">H$119*0.6+H$119*0.4</f>
        <v>0.19</v>
      </c>
      <c r="I144" s="16" t="n">
        <f aca="false">I$119*0.6+I$119*0.4</f>
        <v>0.14</v>
      </c>
      <c r="J144" s="16" t="n">
        <f aca="false">J$119*0.6+J$119*0.4</f>
        <v>0.11</v>
      </c>
    </row>
    <row r="145" customFormat="false" ht="15" hidden="false" customHeight="false" outlineLevel="0" collapsed="false">
      <c r="B145" s="14" t="n">
        <v>9</v>
      </c>
      <c r="C145" s="16" t="n">
        <f aca="false">C$119*0.6+C$120*0.4</f>
        <v>0.472</v>
      </c>
      <c r="D145" s="16" t="n">
        <f aca="false">D$119*0.6+D$120*0.4</f>
        <v>0.928</v>
      </c>
      <c r="E145" s="16" t="n">
        <f aca="false">E$119*0.6+E$120*0.4</f>
        <v>0.98</v>
      </c>
      <c r="F145" s="16" t="n">
        <f aca="false">F$119*0.6+F$120*0.4</f>
        <v>0.8</v>
      </c>
      <c r="G145" s="16" t="n">
        <f aca="false">G$119*0.6+G$120*0.4</f>
        <v>0.388</v>
      </c>
      <c r="H145" s="16" t="n">
        <f aca="false">H$119*0.6+H$120*0.4</f>
        <v>0.198</v>
      </c>
      <c r="I145" s="16" t="n">
        <f aca="false">I$119*0.6+I$120*0.4</f>
        <v>0.144</v>
      </c>
      <c r="J145" s="16" t="n">
        <f aca="false">J$119*0.6+J$120*0.4</f>
        <v>0.114</v>
      </c>
    </row>
    <row r="146" customFormat="false" ht="15" hidden="false" customHeight="false" outlineLevel="0" collapsed="false">
      <c r="B146" s="14" t="n">
        <v>10</v>
      </c>
      <c r="C146" s="16" t="n">
        <f aca="false">C$120*0.6+C$121*0.4</f>
        <v>0.602</v>
      </c>
      <c r="D146" s="16" t="n">
        <f aca="false">D$120*0.6+D$121*0.4</f>
        <v>0.712</v>
      </c>
      <c r="E146" s="16" t="n">
        <f aca="false">E$120*0.6+E$121*0.4</f>
        <v>0.866</v>
      </c>
      <c r="F146" s="16" t="n">
        <f aca="false">F$120*0.6+F$121*0.4</f>
        <v>0.952</v>
      </c>
      <c r="G146" s="16" t="n">
        <f aca="false">G$120*0.6+G$121*0.4</f>
        <v>0.616</v>
      </c>
      <c r="H146" s="16" t="n">
        <f aca="false">H$120*0.6+H$121*0.4</f>
        <v>0.226</v>
      </c>
      <c r="I146" s="16" t="n">
        <f aca="false">I$120*0.6+I$121*0.4</f>
        <v>0.154</v>
      </c>
      <c r="J146" s="16" t="n">
        <f aca="false">J$120*0.6+J$121*0.4</f>
        <v>0.124</v>
      </c>
    </row>
    <row r="147" customFormat="false" ht="15" hidden="false" customHeight="false" outlineLevel="0" collapsed="false">
      <c r="B147" s="14" t="n">
        <v>11</v>
      </c>
      <c r="C147" s="16" t="n">
        <f aca="false">C$121*0.6+C$122*0.4</f>
        <v>0.728</v>
      </c>
      <c r="D147" s="16" t="n">
        <f aca="false">D$121*0.6+D$122*0.4</f>
        <v>0.442</v>
      </c>
      <c r="E147" s="16" t="n">
        <f aca="false">E$121*0.6+E$122*0.4</f>
        <v>0.62</v>
      </c>
      <c r="F147" s="16" t="n">
        <f aca="false">F$121*0.6+F$122*0.4</f>
        <v>0.972</v>
      </c>
      <c r="G147" s="16" t="n">
        <f aca="false">G$121*0.6+G$122*0.4</f>
        <v>0.828</v>
      </c>
      <c r="H147" s="16" t="n">
        <f aca="false">H$121*0.6+H$122*0.4</f>
        <v>0.322</v>
      </c>
      <c r="I147" s="16" t="n">
        <f aca="false">I$121*0.6+I$122*0.4</f>
        <v>0.168</v>
      </c>
      <c r="J147" s="16" t="n">
        <f aca="false">J$121*0.6+J$122*0.4</f>
        <v>0.138</v>
      </c>
    </row>
    <row r="148" customFormat="false" ht="15" hidden="false" customHeight="false" outlineLevel="0" collapsed="false">
      <c r="B148" s="14" t="n">
        <v>12</v>
      </c>
      <c r="C148" s="16" t="n">
        <f aca="false">C$122*0.6+C$123*0.4</f>
        <v>0.832</v>
      </c>
      <c r="D148" s="16" t="n">
        <f aca="false">D$122*0.6+D$123*0.4</f>
        <v>0.232</v>
      </c>
      <c r="E148" s="16" t="n">
        <f aca="false">E$122*0.6+E$123*0.4</f>
        <v>0.348</v>
      </c>
      <c r="F148" s="16" t="n">
        <f aca="false">F$122*0.6+F$123*0.4</f>
        <v>0.838</v>
      </c>
      <c r="G148" s="16" t="n">
        <f aca="false">G$122*0.6+G$123*0.4</f>
        <v>0.958</v>
      </c>
      <c r="H148" s="16" t="n">
        <f aca="false">H$122*0.6+H$123*0.4</f>
        <v>0.538</v>
      </c>
      <c r="I148" s="16" t="n">
        <f aca="false">I$122*0.6+I$123*0.4</f>
        <v>0.196</v>
      </c>
      <c r="J148" s="16" t="n">
        <f aca="false">J$122*0.6+J$123*0.4</f>
        <v>0.162</v>
      </c>
    </row>
    <row r="149" customFormat="false" ht="15" hidden="false" customHeight="false" outlineLevel="0" collapsed="false">
      <c r="B149" s="14" t="n">
        <v>13</v>
      </c>
      <c r="C149" s="16" t="n">
        <f aca="false">C$123*0.6+C$124*0.4</f>
        <v>0.864</v>
      </c>
      <c r="D149" s="16" t="n">
        <f aca="false">D$123*0.6+D$124*0.4</f>
        <v>0.152</v>
      </c>
      <c r="E149" s="16" t="n">
        <f aca="false">E$123*0.6+E$124*0.4</f>
        <v>0.194</v>
      </c>
      <c r="F149" s="16" t="n">
        <f aca="false">F$123*0.6+F$124*0.4</f>
        <v>0.592</v>
      </c>
      <c r="G149" s="16" t="n">
        <f aca="false">G$123*0.6+G$124*0.4</f>
        <v>0.972</v>
      </c>
      <c r="H149" s="16" t="n">
        <f aca="false">H$123*0.6+H$124*0.4</f>
        <v>0.792</v>
      </c>
      <c r="I149" s="16" t="n">
        <f aca="false">I$123*0.6+I$124*0.4</f>
        <v>0.316</v>
      </c>
      <c r="J149" s="16" t="n">
        <f aca="false">J$123*0.6+J$124*0.4</f>
        <v>0.196</v>
      </c>
    </row>
    <row r="150" customFormat="false" ht="15" hidden="false" customHeight="false" outlineLevel="0" collapsed="false">
      <c r="B150" s="14" t="n">
        <v>14</v>
      </c>
      <c r="C150" s="16" t="n">
        <f aca="false">C$124*0.6+C$125*0.4</f>
        <v>0.816</v>
      </c>
      <c r="D150" s="16" t="n">
        <f aca="false">D$124*0.6+D$125*0.4</f>
        <v>0.136</v>
      </c>
      <c r="E150" s="16" t="n">
        <f aca="false">E$124*0.6+E$125*0.4</f>
        <v>0.166</v>
      </c>
      <c r="F150" s="16" t="n">
        <f aca="false">F$124*0.6+F$125*0.4</f>
        <v>0.358</v>
      </c>
      <c r="G150" s="16" t="n">
        <f aca="false">G$124*0.6+G$125*0.4</f>
        <v>0.862</v>
      </c>
      <c r="H150" s="16" t="n">
        <f aca="false">H$124*0.6+H$125*0.4</f>
        <v>0.958</v>
      </c>
      <c r="I150" s="16" t="n">
        <f aca="false">I$124*0.6+I$125*0.4</f>
        <v>0.572</v>
      </c>
      <c r="J150" s="16" t="n">
        <f aca="false">J$124*0.6+J$125*0.4</f>
        <v>0.292</v>
      </c>
    </row>
    <row r="151" customFormat="false" ht="15" hidden="false" customHeight="false" outlineLevel="0" collapsed="false">
      <c r="B151" s="14" t="n">
        <v>15</v>
      </c>
      <c r="C151" s="16" t="n">
        <f aca="false">C$125*0.6+C$126*0.4</f>
        <v>0.748</v>
      </c>
      <c r="D151" s="16" t="n">
        <f aca="false">D$125*0.6+D$126*0.4</f>
        <v>0.126</v>
      </c>
      <c r="E151" s="16" t="n">
        <f aca="false">E$125*0.6+E$126*0.4</f>
        <v>0.156</v>
      </c>
      <c r="F151" s="16" t="n">
        <f aca="false">F$125*0.6+F$126*0.4</f>
        <v>0.234</v>
      </c>
      <c r="G151" s="16" t="n">
        <f aca="false">G$125*0.6+G$126*0.4</f>
        <v>0.664</v>
      </c>
      <c r="H151" s="16" t="n">
        <f aca="false">H$125*0.6+H$126*0.4</f>
        <v>0.984</v>
      </c>
      <c r="I151" s="16" t="n">
        <f aca="false">I$125*0.6+I$126*0.4</f>
        <v>0.816</v>
      </c>
      <c r="J151" s="16" t="n">
        <f aca="false">J$125*0.6+J$126*0.4</f>
        <v>0.512</v>
      </c>
    </row>
    <row r="152" customFormat="false" ht="15" hidden="false" customHeight="false" outlineLevel="0" collapsed="false">
      <c r="B152" s="14" t="n">
        <v>16</v>
      </c>
      <c r="C152" s="16" t="n">
        <f aca="false">C$126*0.6+C$127*0.4</f>
        <v>0.668</v>
      </c>
      <c r="D152" s="16" t="n">
        <f aca="false">D$126*0.6+D$127*0.4</f>
        <v>0.116</v>
      </c>
      <c r="E152" s="16" t="n">
        <f aca="false">E$126*0.6+E$127*0.4</f>
        <v>0.146</v>
      </c>
      <c r="F152" s="16" t="n">
        <f aca="false">F$126*0.6+F$127*0.4</f>
        <v>0.202</v>
      </c>
      <c r="G152" s="16" t="n">
        <f aca="false">G$126*0.6+G$127*0.4</f>
        <v>0.448</v>
      </c>
      <c r="H152" s="16" t="n">
        <f aca="false">H$126*0.6+H$127*0.4</f>
        <v>0.904</v>
      </c>
      <c r="I152" s="16" t="n">
        <f aca="false">I$126*0.6+I$127*0.4</f>
        <v>0.958</v>
      </c>
      <c r="J152" s="16" t="n">
        <f aca="false">J$126*0.6+J$127*0.4</f>
        <v>0.776</v>
      </c>
    </row>
    <row r="153" customFormat="false" ht="15" hidden="false" customHeight="false" outlineLevel="0" collapsed="false">
      <c r="B153" s="14" t="n">
        <v>17</v>
      </c>
      <c r="C153" s="16" t="n">
        <f aca="false">C$127*0.6+C$128*0.4</f>
        <v>0.592</v>
      </c>
      <c r="D153" s="16" t="n">
        <f aca="false">D$127*0.6+D$128*0.4</f>
        <v>0.106</v>
      </c>
      <c r="E153" s="16" t="n">
        <f aca="false">E$127*0.6+E$128*0.4</f>
        <v>0.132</v>
      </c>
      <c r="F153" s="16" t="n">
        <f aca="false">F$127*0.6+F$128*0.4</f>
        <v>0.178</v>
      </c>
      <c r="G153" s="16" t="n">
        <f aca="false">G$127*0.6+G$128*0.4</f>
        <v>0.292</v>
      </c>
      <c r="H153" s="16" t="n">
        <f aca="false">H$127*0.6+H$128*0.4</f>
        <v>0.712</v>
      </c>
      <c r="I153" s="16" t="n">
        <f aca="false">I$127*0.6+I$128*0.4</f>
        <v>0.944</v>
      </c>
      <c r="J153" s="16" t="n">
        <f aca="false">J$127*0.6+J$128*0.4</f>
        <v>0.952</v>
      </c>
    </row>
    <row r="154" customFormat="false" ht="15" hidden="false" customHeight="false" outlineLevel="0" collapsed="false">
      <c r="B154" s="14" t="n">
        <v>18</v>
      </c>
      <c r="C154" s="16" t="n">
        <f aca="false">C$128*0.6+C$129*0.4</f>
        <v>0.522</v>
      </c>
      <c r="D154" s="16" t="n">
        <f aca="false">D$128*0.6+D$129*0.4</f>
        <v>0.092</v>
      </c>
      <c r="E154" s="16" t="n">
        <f aca="false">E$128*0.6+E$129*0.4</f>
        <v>0.112</v>
      </c>
      <c r="F154" s="16" t="n">
        <f aca="false">F$128*0.6+F$129*0.4</f>
        <v>0.144</v>
      </c>
      <c r="G154" s="16" t="n">
        <f aca="false">G$128*0.6+G$129*0.4</f>
        <v>0.188</v>
      </c>
      <c r="H154" s="16" t="n">
        <f aca="false">H$128*0.6+H$129*0.4</f>
        <v>0.434</v>
      </c>
      <c r="I154" s="16" t="n">
        <f aca="false">I$128*0.6+I$129*0.4</f>
        <v>0.692</v>
      </c>
      <c r="J154" s="16" t="n">
        <f aca="false">J$128*0.6+J$129*0.4</f>
        <v>0.832</v>
      </c>
    </row>
    <row r="156" customFormat="false" ht="15" hidden="false" customHeight="false" outlineLevel="0" collapsed="false">
      <c r="B156" s="4" t="s">
        <v>333</v>
      </c>
      <c r="C156" s="4"/>
      <c r="D156" s="4"/>
      <c r="E156" s="4"/>
      <c r="F156" s="4"/>
      <c r="G156" s="4"/>
      <c r="H156" s="4"/>
      <c r="I156" s="4"/>
      <c r="J156" s="4"/>
    </row>
    <row r="157" customFormat="false" ht="15" hidden="false" customHeight="false" outlineLevel="0" collapsed="false">
      <c r="B157" s="34" t="s">
        <v>158</v>
      </c>
      <c r="C157" s="34" t="s">
        <v>310</v>
      </c>
      <c r="D157" s="34" t="s">
        <v>311</v>
      </c>
      <c r="E157" s="34" t="s">
        <v>312</v>
      </c>
      <c r="F157" s="34" t="s">
        <v>313</v>
      </c>
      <c r="G157" s="34" t="s">
        <v>314</v>
      </c>
      <c r="H157" s="34" t="s">
        <v>315</v>
      </c>
      <c r="I157" s="34" t="s">
        <v>316</v>
      </c>
      <c r="J157" s="34" t="s">
        <v>317</v>
      </c>
    </row>
    <row r="158" customFormat="false" ht="15" hidden="false" customHeight="false" outlineLevel="0" collapsed="false">
      <c r="B158" s="14" t="n">
        <v>8</v>
      </c>
      <c r="C158" s="15" t="n">
        <f aca="false">IF(C$110&gt;$C$114,(C$140+Proyecto!$C$40*(C$110-$C$114)*MAX(0,IF(C$152&gt;0,C144/C$152,1))),(C$140+Proyecto!$C$40*(C$112-$C$114)*IF(MAX(C$144:C$154)&gt;C$152,MAX(0,(C144-C$152)/(MAX(C$144:C$154)-C$152)),0)))</f>
        <v>2.262</v>
      </c>
      <c r="D158" s="15" t="n">
        <f aca="false">IF(D$110&gt;$C$114,(C$140+Proyecto!$C$40*(D$110-$C$114)*MAX(0,IF(D$152&gt;0,D144/D$152,1))),(C$140+Proyecto!$C$40*(D$112-$C$114)*IF(MAX(D$144:D$154)&gt;D$152,MAX(0,(D144-D$152)/(MAX(D$144:D$154)-D$152)),0)))</f>
        <v>7.488</v>
      </c>
      <c r="E158" s="15" t="n">
        <f aca="false">IF(E$110&gt;$C$114,(C$140+Proyecto!$C$40*(E$110-$C$114)*MAX(0,IF(E$152&gt;0,E144/E$152,1))),(C$140+Proyecto!$C$40*(E$112-$C$114)*IF(MAX(E$144:E$154)&gt;E$152,MAX(0,(E144-E$152)/(MAX(E$144:E$154)-E$152)),0)))</f>
        <v>10.608</v>
      </c>
      <c r="F158" s="15" t="n">
        <f aca="false">IF(F$110&gt;$C$114,(C$140+Proyecto!$C$40*(F$110-$C$114)*MAX(0,IF(F$152&gt;0,F144/F$152,1))),(C$140+Proyecto!$C$40*(F$112-$C$114)*IF(MAX(F$144:F$154)&gt;F$152,MAX(0,(F144-F$152)/(MAX(F$144:F$154)-F$152)),0)))</f>
        <v>5.32021782178218</v>
      </c>
      <c r="G158" s="15" t="n">
        <f aca="false">IF(G$110&gt;$C$114,(C$140+Proyecto!$C$40*(G$110-$C$114)*MAX(0,IF(G$152&gt;0,G144/G$152,1))),(C$140+Proyecto!$C$40*(G$112-$C$114)*IF(MAX(G$144:G$154)&gt;G$152,MAX(0,(G144-G$152)/(MAX(G$144:G$154)-G$152)),0)))</f>
        <v>5.70932142857143</v>
      </c>
      <c r="H158" s="15" t="n">
        <f aca="false">IF(H$110&gt;$C$114,(C$140+Proyecto!$C$40*(H$110-$C$114)*MAX(0,IF(H$152&gt;0,H144/H$152,1))),(C$140+Proyecto!$C$40*(H$112-$C$114)*IF(MAX(H$144:H$154)&gt;H$152,MAX(0,(H144-H$152)/(MAX(H$144:H$154)-H$152)),0)))</f>
        <v>5.08173451327434</v>
      </c>
      <c r="I158" s="15" t="n">
        <f aca="false">IF(I$110&gt;$C$114,(C$140+Proyecto!$C$40*(I$110-$C$114)*MAX(0,IF(I$152&gt;0,I144/I$152,1))),(C$140+Proyecto!$C$40*(I$112-$C$114)*IF(MAX(I$144:I$154)&gt;I$152,MAX(0,(I144-I$152)/(MAX(I$144:I$154)-I$152)),0)))</f>
        <v>3.90341962421712</v>
      </c>
      <c r="J158" s="15" t="n">
        <f aca="false">IF(J$110&gt;$C$114,(C$140+Proyecto!$C$40*(J$110-$C$114)*MAX(0,IF(J$152&gt;0,J144/J$152,1))),(C$140+Proyecto!$C$40*(J$112-$C$114)*IF(MAX(J$144:J$154)&gt;J$152,MAX(0,(J144-J$152)/(MAX(J$144:J$154)-J$152)),0)))</f>
        <v>3.42295360824742</v>
      </c>
    </row>
    <row r="159" customFormat="false" ht="15" hidden="false" customHeight="false" outlineLevel="0" collapsed="false">
      <c r="B159" s="14" t="n">
        <v>9</v>
      </c>
      <c r="C159" s="15" t="n">
        <f aca="false">IF(C$110&gt;$C$114,(D$140+Proyecto!$C$40*(C$110-$C$114)*MAX(0,IF(C$152&gt;0,C145/C$152,1))),(D$140+Proyecto!$C$40*(C$112-$C$114)*IF(MAX(C$144:C$154)&gt;C$152,MAX(0,(C145-C$152)/(MAX(C$144:C$154)-C$152)),0)))</f>
        <v>3.354</v>
      </c>
      <c r="D159" s="15" t="n">
        <f aca="false">IF(D$110&gt;$C$114,(D$140+Proyecto!$C$40*(D$110-$C$114)*MAX(0,IF(D$152&gt;0,D145/D$152,1))),(D$140+Proyecto!$C$40*(D$112-$C$114)*IF(MAX(D$144:D$154)&gt;D$152,MAX(0,(D145-D$152)/(MAX(D$144:D$154)-D$152)),0)))</f>
        <v>8.15435294117647</v>
      </c>
      <c r="E159" s="15" t="n">
        <f aca="false">IF(E$110&gt;$C$114,(D$140+Proyecto!$C$40*(E$110-$C$114)*MAX(0,IF(E$152&gt;0,E145/E$152,1))),(D$140+Proyecto!$C$40*(E$112-$C$114)*IF(MAX(E$144:E$154)&gt;E$152,MAX(0,(E145-E$152)/(MAX(E$144:E$154)-E$152)),0)))</f>
        <v>11.5045433255269</v>
      </c>
      <c r="F159" s="15" t="n">
        <f aca="false">IF(F$110&gt;$C$114,(D$140+Proyecto!$C$40*(F$110-$C$114)*MAX(0,IF(F$152&gt;0,F145/F$152,1))),(D$140+Proyecto!$C$40*(F$112-$C$114)*IF(MAX(F$144:F$154)&gt;F$152,MAX(0,(F145-F$152)/(MAX(F$144:F$154)-F$152)),0)))</f>
        <v>6.7520198019802</v>
      </c>
      <c r="G159" s="15" t="n">
        <f aca="false">IF(G$110&gt;$C$114,(D$140+Proyecto!$C$40*(G$110-$C$114)*MAX(0,IF(G$152&gt;0,G145/G$152,1))),(D$140+Proyecto!$C$40*(G$112-$C$114)*IF(MAX(G$144:G$154)&gt;G$152,MAX(0,(G145-G$152)/(MAX(G$144:G$154)-G$152)),0)))</f>
        <v>7.81253571428572</v>
      </c>
      <c r="H159" s="15" t="n">
        <f aca="false">IF(H$110&gt;$C$114,(D$140+Proyecto!$C$40*(H$110-$C$114)*MAX(0,IF(H$152&gt;0,H145/H$152,1))),(D$140+Proyecto!$C$40*(H$112-$C$114)*IF(MAX(H$144:H$154)&gt;H$152,MAX(0,(H145-H$152)/(MAX(H$144:H$154)-H$152)),0)))</f>
        <v>6.29246017699115</v>
      </c>
      <c r="I159" s="15" t="n">
        <f aca="false">IF(I$110&gt;$C$114,(D$140+Proyecto!$C$40*(I$110-$C$114)*MAX(0,IF(I$152&gt;0,I145/I$152,1))),(D$140+Proyecto!$C$40*(I$112-$C$114)*IF(MAX(I$144:I$154)&gt;I$152,MAX(0,(I145-I$152)/(MAX(I$144:I$154)-I$152)),0)))</f>
        <v>5.04231732776618</v>
      </c>
      <c r="J159" s="15" t="n">
        <f aca="false">IF(J$110&gt;$C$114,(D$140+Proyecto!$C$40*(J$110-$C$114)*MAX(0,IF(J$152&gt;0,J145/J$152,1))),(D$140+Proyecto!$C$40*(J$112-$C$114)*IF(MAX(J$144:J$154)&gt;J$152,MAX(0,(J145-J$152)/(MAX(J$144:J$154)-J$152)),0)))</f>
        <v>4.55717010309278</v>
      </c>
    </row>
    <row r="160" customFormat="false" ht="15" hidden="false" customHeight="false" outlineLevel="0" collapsed="false">
      <c r="B160" s="14" t="n">
        <v>10</v>
      </c>
      <c r="C160" s="15" t="n">
        <f aca="false">IF(C$110&gt;$C$114,(E$140+Proyecto!$C$40*(C$110-$C$114)*MAX(0,IF(C$152&gt;0,C146/C$152,1))),(E$140+Proyecto!$C$40*(C$112-$C$114)*IF(MAX(C$144:C$154)&gt;C$152,MAX(0,(C146-C$152)/(MAX(C$144:C$154)-C$152)),0)))</f>
        <v>4.446</v>
      </c>
      <c r="D160" s="15" t="n">
        <f aca="false">IF(D$110&gt;$C$114,(E$140+Proyecto!$C$40*(D$110-$C$114)*MAX(0,IF(D$152&gt;0,D146/D$152,1))),(E$140+Proyecto!$C$40*(D$112-$C$114)*IF(MAX(D$144:D$154)&gt;D$152,MAX(0,(D146-D$152)/(MAX(D$144:D$154)-D$152)),0)))</f>
        <v>7.96941176470588</v>
      </c>
      <c r="E160" s="15" t="n">
        <f aca="false">IF(E$110&gt;$C$114,(E$140+Proyecto!$C$40*(E$110-$C$114)*MAX(0,IF(E$152&gt;0,E146/E$152,1))),(E$140+Proyecto!$C$40*(E$112-$C$114)*IF(MAX(E$144:E$154)&gt;E$152,MAX(0,(E146-E$152)/(MAX(E$144:E$154)-E$152)),0)))</f>
        <v>11.4824402810304</v>
      </c>
      <c r="F160" s="15" t="n">
        <f aca="false">IF(F$110&gt;$C$114,(E$140+Proyecto!$C$40*(F$110-$C$114)*MAX(0,IF(F$152&gt;0,F146/F$152,1))),(E$140+Proyecto!$C$40*(F$112-$C$114)*IF(MAX(F$144:F$154)&gt;F$152,MAX(0,(F146-F$152)/(MAX(F$144:F$154)-F$152)),0)))</f>
        <v>8.48964356435644</v>
      </c>
      <c r="G160" s="15" t="n">
        <f aca="false">IF(G$110&gt;$C$114,(E$140+Proyecto!$C$40*(G$110-$C$114)*MAX(0,IF(G$152&gt;0,G146/G$152,1))),(E$140+Proyecto!$C$40*(G$112-$C$114)*IF(MAX(G$144:G$154)&gt;G$152,MAX(0,(G146-G$152)/(MAX(G$144:G$154)-G$152)),0)))</f>
        <v>11.5245</v>
      </c>
      <c r="H160" s="15" t="n">
        <f aca="false">IF(H$110&gt;$C$114,(E$140+Proyecto!$C$40*(H$110-$C$114)*MAX(0,IF(H$152&gt;0,H146/H$152,1))),(E$140+Proyecto!$C$40*(H$112-$C$114)*IF(MAX(H$144:H$154)&gt;H$152,MAX(0,(H146-H$152)/(MAX(H$144:H$154)-H$152)),0)))</f>
        <v>7.8</v>
      </c>
      <c r="I160" s="15" t="n">
        <f aca="false">IF(I$110&gt;$C$114,(E$140+Proyecto!$C$40*(I$110-$C$114)*MAX(0,IF(I$152&gt;0,I146/I$152,1))),(E$140+Proyecto!$C$40*(I$112-$C$114)*IF(MAX(I$144:I$154)&gt;I$152,MAX(0,(I146-I$152)/(MAX(I$144:I$154)-I$152)),0)))</f>
        <v>6.25156158663883</v>
      </c>
      <c r="J160" s="15" t="n">
        <f aca="false">IF(J$110&gt;$C$114,(E$140+Proyecto!$C$40*(J$110-$C$114)*MAX(0,IF(J$152&gt;0,J146/J$152,1))),(E$140+Proyecto!$C$40*(J$112-$C$114)*IF(MAX(J$144:J$154)&gt;J$152,MAX(0,(J146-J$152)/(MAX(J$144:J$154)-J$152)),0)))</f>
        <v>5.75471134020619</v>
      </c>
    </row>
    <row r="161" customFormat="false" ht="15" hidden="false" customHeight="false" outlineLevel="0" collapsed="false">
      <c r="B161" s="14" t="n">
        <v>11</v>
      </c>
      <c r="C161" s="15" t="n">
        <f aca="false">IF(C$110&gt;$C$114,(F$140+Proyecto!$C$40*(C$110-$C$114)*MAX(0,IF(C$152&gt;0,C147/C$152,1))),(F$140+Proyecto!$C$40*(C$112-$C$114)*IF(MAX(C$144:C$154)&gt;C$152,MAX(0,(C147-C$152)/(MAX(C$144:C$154)-C$152)),0)))</f>
        <v>6.02191836734694</v>
      </c>
      <c r="D161" s="15" t="n">
        <f aca="false">IF(D$110&gt;$C$114,(F$140+Proyecto!$C$40*(D$110-$C$114)*MAX(0,IF(D$152&gt;0,D147/D$152,1))),(F$140+Proyecto!$C$40*(D$112-$C$114)*IF(MAX(D$144:D$154)&gt;D$152,MAX(0,(D147-D$152)/(MAX(D$144:D$154)-D$152)),0)))</f>
        <v>7.54323529411765</v>
      </c>
      <c r="E161" s="15" t="n">
        <f aca="false">IF(E$110&gt;$C$114,(F$140+Proyecto!$C$40*(E$110-$C$114)*MAX(0,IF(E$152&gt;0,E147/E$152,1))),(F$140+Proyecto!$C$40*(E$112-$C$114)*IF(MAX(E$144:E$154)&gt;E$152,MAX(0,(E147-E$152)/(MAX(E$144:E$154)-E$152)),0)))</f>
        <v>10.2483231850117</v>
      </c>
      <c r="F161" s="15" t="n">
        <f aca="false">IF(F$110&gt;$C$114,(F$140+Proyecto!$C$40*(F$110-$C$114)*MAX(0,IF(F$152&gt;0,F147/F$152,1))),(F$140+Proyecto!$C$40*(F$112-$C$114)*IF(MAX(F$144:F$154)&gt;F$152,MAX(0,(F147-F$152)/(MAX(F$144:F$154)-F$152)),0)))</f>
        <v>9.74459405940594</v>
      </c>
      <c r="G161" s="15" t="n">
        <f aca="false">IF(G$110&gt;$C$114,(F$140+Proyecto!$C$40*(G$110-$C$114)*MAX(0,IF(G$152&gt;0,G147/G$152,1))),(F$140+Proyecto!$C$40*(G$112-$C$114)*IF(MAX(G$144:G$154)&gt;G$152,MAX(0,(G147-G$152)/(MAX(G$144:G$154)-G$152)),0)))</f>
        <v>15.1306071428571</v>
      </c>
      <c r="H161" s="15" t="n">
        <f aca="false">IF(H$110&gt;$C$114,(F$140+Proyecto!$C$40*(H$110-$C$114)*MAX(0,IF(H$152&gt;0,H147/H$152,1))),(F$140+Proyecto!$C$40*(H$112-$C$114)*IF(MAX(H$144:H$154)&gt;H$152,MAX(0,(H147-H$152)/(MAX(H$144:H$154)-H$152)),0)))</f>
        <v>10.3947079646018</v>
      </c>
      <c r="I161" s="15" t="n">
        <f aca="false">IF(I$110&gt;$C$114,(F$140+Proyecto!$C$40*(I$110-$C$114)*MAX(0,IF(I$152&gt;0,I147/I$152,1))),(F$140+Proyecto!$C$40*(I$112-$C$114)*IF(MAX(I$144:I$154)&gt;I$152,MAX(0,(I147-I$152)/(MAX(I$144:I$154)-I$152)),0)))</f>
        <v>7.58570354906054</v>
      </c>
      <c r="J161" s="15" t="n">
        <f aca="false">IF(J$110&gt;$C$114,(F$140+Proyecto!$C$40*(J$110-$C$114)*MAX(0,IF(J$152&gt;0,J147/J$152,1))),(F$140+Proyecto!$C$40*(J$112-$C$114)*IF(MAX(J$144:J$154)&gt;J$152,MAX(0,(J147-J$152)/(MAX(J$144:J$154)-J$152)),0)))</f>
        <v>7.07246907216495</v>
      </c>
    </row>
    <row r="162" customFormat="false" ht="15" hidden="false" customHeight="false" outlineLevel="0" collapsed="false">
      <c r="B162" s="14" t="n">
        <v>12</v>
      </c>
      <c r="C162" s="15" t="n">
        <f aca="false">IF(C$110&gt;$C$114,(G$140+Proyecto!$C$40*(C$110-$C$114)*MAX(0,IF(C$152&gt;0,C148/C$152,1))),(G$140+Proyecto!$C$40*(C$112-$C$114)*IF(MAX(C$144:C$154)&gt;C$152,MAX(0,(C148-C$152)/(MAX(C$144:C$154)-C$152)),0)))</f>
        <v>7.73951020408163</v>
      </c>
      <c r="D162" s="15" t="n">
        <f aca="false">IF(D$110&gt;$C$114,(G$140+Proyecto!$C$40*(D$110-$C$114)*MAX(0,IF(D$152&gt;0,D148/D$152,1))),(G$140+Proyecto!$C$40*(D$112-$C$114)*IF(MAX(D$144:D$154)&gt;D$152,MAX(0,(D148-D$152)/(MAX(D$144:D$154)-D$152)),0)))</f>
        <v>7.31576470588235</v>
      </c>
      <c r="E162" s="15" t="n">
        <f aca="false">IF(E$110&gt;$C$114,(G$140+Proyecto!$C$40*(E$110-$C$114)*MAX(0,IF(E$152&gt;0,E148/E$152,1))),(G$140+Proyecto!$C$40*(E$112-$C$114)*IF(MAX(E$144:E$154)&gt;E$152,MAX(0,(E148-E$152)/(MAX(E$144:E$154)-E$152)),0)))</f>
        <v>8.60411241217799</v>
      </c>
      <c r="F162" s="15" t="n">
        <f aca="false">IF(F$110&gt;$C$114,(G$140+Proyecto!$C$40*(F$110-$C$114)*MAX(0,IF(F$152&gt;0,F148/F$152,1))),(G$140+Proyecto!$C$40*(F$112-$C$114)*IF(MAX(F$144:F$154)&gt;F$152,MAX(0,(F148-F$152)/(MAX(F$144:F$154)-F$152)),0)))</f>
        <v>10.1894257425743</v>
      </c>
      <c r="G162" s="15" t="n">
        <f aca="false">IF(G$110&gt;$C$114,(G$140+Proyecto!$C$40*(G$110-$C$114)*MAX(0,IF(G$152&gt;0,G148/G$152,1))),(G$140+Proyecto!$C$40*(G$112-$C$114)*IF(MAX(G$144:G$154)&gt;G$152,MAX(0,(G148-G$152)/(MAX(G$144:G$154)-G$152)),0)))</f>
        <v>17.6384464285714</v>
      </c>
      <c r="H162" s="15" t="n">
        <f aca="false">IF(H$110&gt;$C$114,(G$140+Proyecto!$C$40*(H$110-$C$114)*MAX(0,IF(H$152&gt;0,H148/H$152,1))),(G$140+Proyecto!$C$40*(H$112-$C$114)*IF(MAX(H$144:H$154)&gt;H$152,MAX(0,(H148-H$152)/(MAX(H$144:H$154)-H$152)),0)))</f>
        <v>14.6143008849558</v>
      </c>
      <c r="I162" s="15" t="n">
        <f aca="false">IF(I$110&gt;$C$114,(G$140+Proyecto!$C$40*(I$110-$C$114)*MAX(0,IF(I$152&gt;0,I148/I$152,1))),(G$140+Proyecto!$C$40*(I$112-$C$114)*IF(MAX(I$144:I$154)&gt;I$152,MAX(0,(I148-I$152)/(MAX(I$144:I$154)-I$152)),0)))</f>
        <v>8.92798747390397</v>
      </c>
      <c r="J162" s="15" t="n">
        <f aca="false">IF(J$110&gt;$C$114,(G$140+Proyecto!$C$40*(J$110-$C$114)*MAX(0,IF(J$152&gt;0,J148/J$152,1))),(G$140+Proyecto!$C$40*(J$112-$C$114)*IF(MAX(J$144:J$154)&gt;J$152,MAX(0,(J148-J$152)/(MAX(J$144:J$154)-J$152)),0)))</f>
        <v>8.33976804123711</v>
      </c>
    </row>
    <row r="163" customFormat="false" ht="15" hidden="false" customHeight="false" outlineLevel="0" collapsed="false">
      <c r="B163" s="14" t="n">
        <v>13</v>
      </c>
      <c r="C163" s="15" t="n">
        <f aca="false">IF(C$110&gt;$C$114,(H$140+Proyecto!$C$40*(C$110-$C$114)*MAX(0,IF(C$152&gt;0,C149/C$152,1))),(H$140+Proyecto!$C$40*(C$112-$C$114)*IF(MAX(C$144:C$154)&gt;C$152,MAX(0,(C149-C$152)/(MAX(C$144:C$154)-C$152)),0)))</f>
        <v>8.58</v>
      </c>
      <c r="D163" s="15" t="n">
        <f aca="false">IF(D$110&gt;$C$114,(H$140+Proyecto!$C$40*(D$110-$C$114)*MAX(0,IF(D$152&gt;0,D149/D$152,1))),(H$140+Proyecto!$C$40*(D$112-$C$114)*IF(MAX(D$144:D$154)&gt;D$152,MAX(0,(D149-D$152)/(MAX(D$144:D$154)-D$152)),0)))</f>
        <v>7.46682352941176</v>
      </c>
      <c r="E163" s="15" t="n">
        <f aca="false">IF(E$110&gt;$C$114,(H$140+Proyecto!$C$40*(E$110-$C$114)*MAX(0,IF(E$152&gt;0,E149/E$152,1))),(H$140+Proyecto!$C$40*(E$112-$C$114)*IF(MAX(E$144:E$154)&gt;E$152,MAX(0,(E149-E$152)/(MAX(E$144:E$154)-E$152)),0)))</f>
        <v>7.72309601873536</v>
      </c>
      <c r="F163" s="15" t="n">
        <f aca="false">IF(F$110&gt;$C$114,(H$140+Proyecto!$C$40*(F$110-$C$114)*MAX(0,IF(F$152&gt;0,F149/F$152,1))),(H$140+Proyecto!$C$40*(F$112-$C$114)*IF(MAX(F$144:F$154)&gt;F$152,MAX(0,(F149-F$152)/(MAX(F$144:F$154)-F$152)),0)))</f>
        <v>9.76853465346535</v>
      </c>
      <c r="G163" s="15" t="n">
        <f aca="false">IF(G$110&gt;$C$114,(H$140+Proyecto!$C$40*(G$110-$C$114)*MAX(0,IF(G$152&gt;0,G149/G$152,1))),(H$140+Proyecto!$C$40*(G$112-$C$114)*IF(MAX(G$144:G$154)&gt;G$152,MAX(0,(G149-G$152)/(MAX(G$144:G$154)-G$152)),0)))</f>
        <v>18.4233214285714</v>
      </c>
      <c r="H163" s="15" t="n">
        <f aca="false">IF(H$110&gt;$C$114,(H$140+Proyecto!$C$40*(H$110-$C$114)*MAX(0,IF(H$152&gt;0,H149/H$152,1))),(H$140+Proyecto!$C$40*(H$112-$C$114)*IF(MAX(H$144:H$154)&gt;H$152,MAX(0,(H149-H$152)/(MAX(H$144:H$154)-H$152)),0)))</f>
        <v>19.0078407079646</v>
      </c>
      <c r="I163" s="15" t="n">
        <f aca="false">IF(I$110&gt;$C$114,(H$140+Proyecto!$C$40*(I$110-$C$114)*MAX(0,IF(I$152&gt;0,I149/I$152,1))),(H$140+Proyecto!$C$40*(I$112-$C$114)*IF(MAX(I$144:I$154)&gt;I$152,MAX(0,(I149-I$152)/(MAX(I$144:I$154)-I$152)),0)))</f>
        <v>10.9589185803758</v>
      </c>
      <c r="J163" s="15" t="n">
        <f aca="false">IF(J$110&gt;$C$114,(H$140+Proyecto!$C$40*(J$110-$C$114)*MAX(0,IF(J$152&gt;0,J149/J$152,1))),(H$140+Proyecto!$C$40*(J$112-$C$114)*IF(MAX(J$144:J$154)&gt;J$152,MAX(0,(J149-J$152)/(MAX(J$144:J$154)-J$152)),0)))</f>
        <v>9.32260824742268</v>
      </c>
    </row>
    <row r="164" customFormat="false" ht="15" hidden="false" customHeight="false" outlineLevel="0" collapsed="false">
      <c r="B164" s="14" t="n">
        <v>14</v>
      </c>
      <c r="C164" s="15" t="n">
        <f aca="false">IF(C$110&gt;$C$114,(I$140+Proyecto!$C$40*(C$110-$C$114)*MAX(0,IF(C$152&gt;0,C150/C$152,1))),(I$140+Proyecto!$C$40*(C$112-$C$114)*IF(MAX(C$144:C$154)&gt;C$152,MAX(0,(C150-C$152)/(MAX(C$144:C$154)-C$152)),0)))</f>
        <v>8.64526530612245</v>
      </c>
      <c r="D164" s="15" t="n">
        <f aca="false">IF(D$110&gt;$C$114,(I$140+Proyecto!$C$40*(D$110-$C$114)*MAX(0,IF(D$152&gt;0,D150/D$152,1))),(I$140+Proyecto!$C$40*(D$112-$C$114)*IF(MAX(D$144:D$154)&gt;D$152,MAX(0,(D150-D$152)/(MAX(D$144:D$154)-D$152)),0)))</f>
        <v>7.76223529411765</v>
      </c>
      <c r="E164" s="15" t="n">
        <f aca="false">IF(E$110&gt;$C$114,(I$140+Proyecto!$C$40*(E$110-$C$114)*MAX(0,IF(E$152&gt;0,E150/E$152,1))),(I$140+Proyecto!$C$40*(E$112-$C$114)*IF(MAX(E$144:E$154)&gt;E$152,MAX(0,(E150-E$152)/(MAX(E$144:E$154)-E$152)),0)))</f>
        <v>7.83945667447307</v>
      </c>
      <c r="F164" s="15" t="n">
        <f aca="false">IF(F$110&gt;$C$114,(I$140+Proyecto!$C$40*(F$110-$C$114)*MAX(0,IF(F$152&gt;0,F150/F$152,1))),(I$140+Proyecto!$C$40*(F$112-$C$114)*IF(MAX(F$144:F$154)&gt;F$152,MAX(0,(F150-F$152)/(MAX(F$144:F$154)-F$152)),0)))</f>
        <v>9.16461386138614</v>
      </c>
      <c r="G164" s="15" t="n">
        <f aca="false">IF(G$110&gt;$C$114,(I$140+Proyecto!$C$40*(G$110-$C$114)*MAX(0,IF(G$152&gt;0,G150/G$152,1))),(I$140+Proyecto!$C$40*(G$112-$C$114)*IF(MAX(G$144:G$154)&gt;G$152,MAX(0,(G150-G$152)/(MAX(G$144:G$154)-G$152)),0)))</f>
        <v>17.5493035714286</v>
      </c>
      <c r="H164" s="15" t="n">
        <f aca="false">IF(H$110&gt;$C$114,(I$140+Proyecto!$C$40*(H$110-$C$114)*MAX(0,IF(H$152&gt;0,H150/H$152,1))),(I$140+Proyecto!$C$40*(H$112-$C$114)*IF(MAX(H$144:H$154)&gt;H$152,MAX(0,(H150-H$152)/(MAX(H$144:H$154)-H$152)),0)))</f>
        <v>21.8613982300885</v>
      </c>
      <c r="I164" s="15" t="n">
        <f aca="false">IF(I$110&gt;$C$114,(I$140+Proyecto!$C$40*(I$110-$C$114)*MAX(0,IF(I$152&gt;0,I150/I$152,1))),(I$140+Proyecto!$C$40*(I$112-$C$114)*IF(MAX(I$144:I$154)&gt;I$152,MAX(0,(I150-I$152)/(MAX(I$144:I$154)-I$152)),0)))</f>
        <v>14.3503716075157</v>
      </c>
      <c r="J164" s="15" t="n">
        <f aca="false">IF(J$110&gt;$C$114,(I$140+Proyecto!$C$40*(J$110-$C$114)*MAX(0,IF(J$152&gt;0,J150/J$152,1))),(I$140+Proyecto!$C$40*(J$112-$C$114)*IF(MAX(J$144:J$154)&gt;J$152,MAX(0,(J150-J$152)/(MAX(J$144:J$154)-J$152)),0)))</f>
        <v>10.7258041237113</v>
      </c>
    </row>
    <row r="165" customFormat="false" ht="15" hidden="false" customHeight="false" outlineLevel="0" collapsed="false">
      <c r="B165" s="14" t="n">
        <v>15</v>
      </c>
      <c r="C165" s="15" t="n">
        <f aca="false">IF(C$110&gt;$C$114,(J$140+Proyecto!$C$40*(C$110-$C$114)*MAX(0,IF(C$152&gt;0,C151/C$152,1))),(J$140+Proyecto!$C$40*(C$112-$C$114)*IF(MAX(C$144:C$154)&gt;C$152,MAX(0,(C151-C$152)/(MAX(C$144:C$154)-C$152)),0)))</f>
        <v>8.26322448979592</v>
      </c>
      <c r="D165" s="15" t="n">
        <f aca="false">IF(D$110&gt;$C$114,(J$140+Proyecto!$C$40*(D$110-$C$114)*MAX(0,IF(D$152&gt;0,D151/D$152,1))),(J$140+Proyecto!$C$40*(D$112-$C$114)*IF(MAX(D$144:D$154)&gt;D$152,MAX(0,(D151-D$152)/(MAX(D$144:D$154)-D$152)),0)))</f>
        <v>7.78111764705882</v>
      </c>
      <c r="E165" s="15" t="n">
        <f aca="false">IF(E$110&gt;$C$114,(J$140+Proyecto!$C$40*(E$110-$C$114)*MAX(0,IF(E$152&gt;0,E151/E$152,1))),(J$140+Proyecto!$C$40*(E$112-$C$114)*IF(MAX(E$144:E$154)&gt;E$152,MAX(0,(E151-E$152)/(MAX(E$144:E$154)-E$152)),0)))</f>
        <v>7.81972833723653</v>
      </c>
      <c r="F165" s="15" t="n">
        <f aca="false">IF(F$110&gt;$C$114,(J$140+Proyecto!$C$40*(F$110-$C$114)*MAX(0,IF(F$152&gt;0,F151/F$152,1))),(J$140+Proyecto!$C$40*(F$112-$C$114)*IF(MAX(F$144:F$154)&gt;F$152,MAX(0,(F151-F$152)/(MAX(F$144:F$154)-F$152)),0)))</f>
        <v>8.71592079207921</v>
      </c>
      <c r="G165" s="15" t="n">
        <f aca="false">IF(G$110&gt;$C$114,(J$140+Proyecto!$C$40*(G$110-$C$114)*MAX(0,IF(G$152&gt;0,G151/G$152,1))),(J$140+Proyecto!$C$40*(G$112-$C$114)*IF(MAX(G$144:G$154)&gt;G$152,MAX(0,(G151-G$152)/(MAX(G$144:G$154)-G$152)),0)))</f>
        <v>15.3520714285714</v>
      </c>
      <c r="H165" s="15" t="n">
        <f aca="false">IF(H$110&gt;$C$114,(J$140+Proyecto!$C$40*(H$110-$C$114)*MAX(0,IF(H$152&gt;0,H151/H$152,1))),(J$140+Proyecto!$C$40*(H$112-$C$114)*IF(MAX(H$144:H$154)&gt;H$152,MAX(0,(H151-H$152)/(MAX(H$144:H$154)-H$152)),0)))</f>
        <v>22.3252566371681</v>
      </c>
      <c r="I165" s="15" t="n">
        <f aca="false">IF(I$110&gt;$C$114,(J$140+Proyecto!$C$40*(I$110-$C$114)*MAX(0,IF(I$152&gt;0,I151/I$152,1))),(J$140+Proyecto!$C$40*(I$112-$C$114)*IF(MAX(I$144:I$154)&gt;I$152,MAX(0,(I151-I$152)/(MAX(I$144:I$154)-I$152)),0)))</f>
        <v>17.2891315240084</v>
      </c>
      <c r="J165" s="15" t="n">
        <f aca="false">IF(J$110&gt;$C$114,(J$140+Proyecto!$C$40*(J$110-$C$114)*MAX(0,IF(J$152&gt;0,J151/J$152,1))),(J$140+Proyecto!$C$40*(J$112-$C$114)*IF(MAX(J$144:J$154)&gt;J$152,MAX(0,(J151-J$152)/(MAX(J$144:J$154)-J$152)),0)))</f>
        <v>13.1257113402062</v>
      </c>
    </row>
    <row r="166" customFormat="false" ht="15" hidden="false" customHeight="false" outlineLevel="0" collapsed="false">
      <c r="B166" s="14" t="n">
        <v>16</v>
      </c>
      <c r="C166" s="15" t="n">
        <f aca="false">IF(C$110&gt;$C$114,(K$140+Proyecto!$C$40*(C$110-$C$114)*MAX(0,IF(C$152&gt;0,C152/C$152,1))),(K$140+Proyecto!$C$40*(C$112-$C$114)*IF(MAX(C$144:C$154)&gt;C$152,MAX(0,(C152-C$152)/(MAX(C$144:C$154)-C$152)),0)))</f>
        <v>7.8</v>
      </c>
      <c r="D166" s="15" t="n">
        <f aca="false">IF(D$110&gt;$C$114,(K$140+Proyecto!$C$40*(D$110-$C$114)*MAX(0,IF(D$152&gt;0,D152/D$152,1))),(K$140+Proyecto!$C$40*(D$112-$C$114)*IF(MAX(D$144:D$154)&gt;D$152,MAX(0,(D152-D$152)/(MAX(D$144:D$154)-D$152)),0)))</f>
        <v>7.8</v>
      </c>
      <c r="E166" s="15" t="n">
        <f aca="false">IF(E$110&gt;$C$114,(K$140+Proyecto!$C$40*(E$110-$C$114)*MAX(0,IF(E$152&gt;0,E152/E$152,1))),(K$140+Proyecto!$C$40*(E$112-$C$114)*IF(MAX(E$144:E$154)&gt;E$152,MAX(0,(E152-E$152)/(MAX(E$144:E$154)-E$152)),0)))</f>
        <v>7.8</v>
      </c>
      <c r="F166" s="15" t="n">
        <f aca="false">IF(F$110&gt;$C$114,(K$140+Proyecto!$C$40*(F$110-$C$114)*MAX(0,IF(F$152&gt;0,F152/F$152,1))),(K$140+Proyecto!$C$40*(F$112-$C$114)*IF(MAX(F$144:F$154)&gt;F$152,MAX(0,(F152-F$152)/(MAX(F$144:F$154)-F$152)),0)))</f>
        <v>8.658</v>
      </c>
      <c r="G166" s="15" t="n">
        <f aca="false">IF(G$110&gt;$C$114,(K$140+Proyecto!$C$40*(G$110-$C$114)*MAX(0,IF(G$152&gt;0,G152/G$152,1))),(K$140+Proyecto!$C$40*(G$112-$C$114)*IF(MAX(G$144:G$154)&gt;G$152,MAX(0,(G152-G$152)/(MAX(G$144:G$154)-G$152)),0)))</f>
        <v>12.948</v>
      </c>
      <c r="H166" s="15" t="n">
        <f aca="false">IF(H$110&gt;$C$114,(K$140+Proyecto!$C$40*(H$110-$C$114)*MAX(0,IF(H$152&gt;0,H152/H$152,1))),(K$140+Proyecto!$C$40*(H$112-$C$114)*IF(MAX(H$144:H$154)&gt;H$152,MAX(0,(H152-H$152)/(MAX(H$144:H$154)-H$152)),0)))</f>
        <v>21.216</v>
      </c>
      <c r="I166" s="15" t="n">
        <f aca="false">IF(I$110&gt;$C$114,(K$140+Proyecto!$C$40*(I$110-$C$114)*MAX(0,IF(I$152&gt;0,I152/I$152,1))),(K$140+Proyecto!$C$40*(I$112-$C$114)*IF(MAX(I$144:I$154)&gt;I$152,MAX(0,(I152-I$152)/(MAX(I$144:I$154)-I$152)),0)))</f>
        <v>19.032</v>
      </c>
      <c r="J166" s="15" t="n">
        <f aca="false">IF(J$110&gt;$C$114,(K$140+Proyecto!$C$40*(J$110-$C$114)*MAX(0,IF(J$152&gt;0,J152/J$152,1))),(K$140+Proyecto!$C$40*(J$112-$C$114)*IF(MAX(J$144:J$154)&gt;J$152,MAX(0,(J152-J$152)/(MAX(J$144:J$154)-J$152)),0)))</f>
        <v>15.99</v>
      </c>
    </row>
    <row r="167" customFormat="false" ht="15" hidden="false" customHeight="false" outlineLevel="0" collapsed="false">
      <c r="B167" s="14" t="n">
        <v>17</v>
      </c>
      <c r="C167" s="15" t="n">
        <f aca="false">IF(C$110&gt;$C$114,(L$140+Proyecto!$C$40*(C$110-$C$114)*MAX(0,IF(C$152&gt;0,C153/C$152,1))),(L$140+Proyecto!$C$40*(C$112-$C$114)*IF(MAX(C$144:C$154)&gt;C$152,MAX(0,(C153-C$152)/(MAX(C$144:C$154)-C$152)),0)))</f>
        <v>7.488</v>
      </c>
      <c r="D167" s="15" t="n">
        <f aca="false">IF(D$110&gt;$C$114,(L$140+Proyecto!$C$40*(D$110-$C$114)*MAX(0,IF(D$152&gt;0,D153/D$152,1))),(L$140+Proyecto!$C$40*(D$112-$C$114)*IF(MAX(D$144:D$154)&gt;D$152,MAX(0,(D153-D$152)/(MAX(D$144:D$154)-D$152)),0)))</f>
        <v>7.488</v>
      </c>
      <c r="E167" s="15" t="n">
        <f aca="false">IF(E$110&gt;$C$114,(L$140+Proyecto!$C$40*(E$110-$C$114)*MAX(0,IF(E$152&gt;0,E153/E$152,1))),(L$140+Proyecto!$C$40*(E$112-$C$114)*IF(MAX(E$144:E$154)&gt;E$152,MAX(0,(E153-E$152)/(MAX(E$144:E$154)-E$152)),0)))</f>
        <v>7.488</v>
      </c>
      <c r="F167" s="15" t="n">
        <f aca="false">IF(F$110&gt;$C$114,(L$140+Proyecto!$C$40*(F$110-$C$114)*MAX(0,IF(F$152&gt;0,F153/F$152,1))),(L$140+Proyecto!$C$40*(F$112-$C$114)*IF(MAX(F$144:F$154)&gt;F$152,MAX(0,(F153-F$152)/(MAX(F$144:F$154)-F$152)),0)))</f>
        <v>8.2440594059406</v>
      </c>
      <c r="G167" s="15" t="n">
        <f aca="false">IF(G$110&gt;$C$114,(L$140+Proyecto!$C$40*(G$110-$C$114)*MAX(0,IF(G$152&gt;0,G153/G$152,1))),(L$140+Proyecto!$C$40*(G$112-$C$114)*IF(MAX(G$144:G$154)&gt;G$152,MAX(0,(G153-G$152)/(MAX(G$144:G$154)-G$152)),0)))</f>
        <v>10.8433928571429</v>
      </c>
      <c r="H167" s="15" t="n">
        <f aca="false">IF(H$110&gt;$C$114,(L$140+Proyecto!$C$40*(H$110-$C$114)*MAX(0,IF(H$152&gt;0,H153/H$152,1))),(L$140+Proyecto!$C$40*(H$112-$C$114)*IF(MAX(H$144:H$154)&gt;H$152,MAX(0,(H153-H$152)/(MAX(H$144:H$154)-H$152)),0)))</f>
        <v>18.0545840707965</v>
      </c>
      <c r="I167" s="15" t="n">
        <f aca="false">IF(I$110&gt;$C$114,(L$140+Proyecto!$C$40*(I$110-$C$114)*MAX(0,IF(I$152&gt;0,I153/I$152,1))),(L$140+Proyecto!$C$40*(I$112-$C$114)*IF(MAX(I$144:I$154)&gt;I$152,MAX(0,(I153-I$152)/(MAX(I$144:I$154)-I$152)),0)))</f>
        <v>18.5558580375783</v>
      </c>
      <c r="J167" s="15" t="n">
        <f aca="false">IF(J$110&gt;$C$114,(L$140+Proyecto!$C$40*(J$110-$C$114)*MAX(0,IF(J$152&gt;0,J153/J$152,1))),(L$140+Proyecto!$C$40*(J$112-$C$114)*IF(MAX(J$144:J$154)&gt;J$152,MAX(0,(J153-J$152)/(MAX(J$144:J$154)-J$152)),0)))</f>
        <v>17.5355257731959</v>
      </c>
    </row>
    <row r="168" customFormat="false" ht="15" hidden="false" customHeight="false" outlineLevel="0" collapsed="false">
      <c r="B168" s="14" t="n">
        <v>18</v>
      </c>
      <c r="C168" s="15" t="n">
        <f aca="false">IF(C$110&gt;$C$114,(M$140+Proyecto!$C$40*(C$110-$C$114)*MAX(0,IF(C$152&gt;0,C154/C$152,1))),(M$140+Proyecto!$C$40*(C$112-$C$114)*IF(MAX(C$144:C$154)&gt;C$152,MAX(0,(C154-C$152)/(MAX(C$144:C$154)-C$152)),0)))</f>
        <v>6.864</v>
      </c>
      <c r="D168" s="15" t="n">
        <f aca="false">IF(D$110&gt;$C$114,(M$140+Proyecto!$C$40*(D$110-$C$114)*MAX(0,IF(D$152&gt;0,D154/D$152,1))),(M$140+Proyecto!$C$40*(D$112-$C$114)*IF(MAX(D$144:D$154)&gt;D$152,MAX(0,(D154-D$152)/(MAX(D$144:D$154)-D$152)),0)))</f>
        <v>6.864</v>
      </c>
      <c r="E168" s="15" t="n">
        <f aca="false">IF(E$110&gt;$C$114,(M$140+Proyecto!$C$40*(E$110-$C$114)*MAX(0,IF(E$152&gt;0,E154/E$152,1))),(M$140+Proyecto!$C$40*(E$112-$C$114)*IF(MAX(E$144:E$154)&gt;E$152,MAX(0,(E154-E$152)/(MAX(E$144:E$154)-E$152)),0)))</f>
        <v>6.864</v>
      </c>
      <c r="F168" s="15" t="n">
        <f aca="false">IF(F$110&gt;$C$114,(M$140+Proyecto!$C$40*(F$110-$C$114)*MAX(0,IF(F$152&gt;0,F154/F$152,1))),(M$140+Proyecto!$C$40*(F$112-$C$114)*IF(MAX(F$144:F$154)&gt;F$152,MAX(0,(F154-F$152)/(MAX(F$144:F$154)-F$152)),0)))</f>
        <v>7.47564356435644</v>
      </c>
      <c r="G168" s="15" t="n">
        <f aca="false">IF(G$110&gt;$C$114,(M$140+Proyecto!$C$40*(G$110-$C$114)*MAX(0,IF(G$152&gt;0,G154/G$152,1))),(M$140+Proyecto!$C$40*(G$112-$C$114)*IF(MAX(G$144:G$154)&gt;G$152,MAX(0,(G154-G$152)/(MAX(G$144:G$154)-G$152)),0)))</f>
        <v>9.02432142857143</v>
      </c>
      <c r="H168" s="15" t="n">
        <f aca="false">IF(H$110&gt;$C$114,(M$140+Proyecto!$C$40*(H$110-$C$114)*MAX(0,IF(H$152&gt;0,H154/H$152,1))),(M$140+Proyecto!$C$40*(H$112-$C$114)*IF(MAX(H$144:H$154)&gt;H$152,MAX(0,(H154-H$152)/(MAX(H$144:H$154)-H$152)),0)))</f>
        <v>13.3048672566372</v>
      </c>
      <c r="I168" s="15" t="n">
        <f aca="false">IF(I$110&gt;$C$114,(M$140+Proyecto!$C$40*(I$110-$C$114)*MAX(0,IF(I$152&gt;0,I154/I$152,1))),(M$140+Proyecto!$C$40*(I$112-$C$114)*IF(MAX(I$144:I$154)&gt;I$152,MAX(0,(I154-I$152)/(MAX(I$144:I$154)-I$152)),0)))</f>
        <v>14.9773027139875</v>
      </c>
      <c r="J168" s="15" t="n">
        <f aca="false">IF(J$110&gt;$C$114,(M$140+Proyecto!$C$40*(J$110-$C$114)*MAX(0,IF(J$152&gt;0,J154/J$152,1))),(M$140+Proyecto!$C$40*(J$112-$C$114)*IF(MAX(J$144:J$154)&gt;J$152,MAX(0,(J154-J$152)/(MAX(J$144:J$154)-J$152)),0)))</f>
        <v>15.6450309278351</v>
      </c>
    </row>
    <row r="170" customFormat="false" ht="15" hidden="false" customHeight="false" outlineLevel="0" collapsed="false">
      <c r="B170" s="4" t="s">
        <v>334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customFormat="false" ht="15" hidden="false" customHeight="false" outlineLevel="0" collapsed="false">
      <c r="B171" s="8" t="s">
        <v>335</v>
      </c>
      <c r="C171" s="15" t="n">
        <f aca="false">C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C$133*0.55+C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7.03404</v>
      </c>
      <c r="D171" s="15" t="n">
        <f aca="false">D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D$133*0.55+C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9.369282</v>
      </c>
      <c r="E171" s="15" t="n">
        <f aca="false">E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E$133*0.55+D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12.721722</v>
      </c>
      <c r="F171" s="15" t="n">
        <f aca="false">F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F$133*0.55+E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15.944955</v>
      </c>
      <c r="G171" s="15" t="n">
        <f aca="false">G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G$133*0.55+F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18.566379</v>
      </c>
      <c r="H171" s="15" t="n">
        <f aca="false">H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H$133*0.55+G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19.812</v>
      </c>
      <c r="I171" s="15" t="n">
        <f aca="false">I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I$133*0.55+H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19.718517</v>
      </c>
      <c r="J171" s="15" t="n">
        <f aca="false">J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J$133*0.55+I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18.503043</v>
      </c>
      <c r="K171" s="15" t="n">
        <f aca="false">K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K$133*0.55+J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16.741296</v>
      </c>
      <c r="L171" s="15" t="n">
        <f aca="false">L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L$133*0.55+K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14.281878</v>
      </c>
      <c r="M171" s="15" t="n">
        <f aca="false">M$140+(Proyecto!$C$40*($C$115-$C$114))*IF(MAX((C$133*0.55+C$133*0.45),(D$133*0.55+C$133*0.45),(E$133*0.55+D$133*0.45),(F$133*0.55+E$133*0.45),(G$133*0.55+F$133*0.45),(H$133*0.55+G$133*0.45),(I$133*0.55+H$133*0.45),(J$133*0.55+I$133*0.45),(K$133*0.55+J$133*0.45),(L$133*0.55+K$133*0.45),(M$133*0.55+L$133*0.45))&gt;0,(M$133*0.55+L$133*0.45)/MAX((C$133*0.55+C$133*0.45),(D$133*0.55+C$133*0.45),(E$133*0.55+D$133*0.45),(F$133*0.55+E$133*0.45),(G$133*0.55+F$133*0.45),(H$133*0.55+G$133*0.45),(I$133*0.55+H$133*0.45),(J$133*0.55+I$133*0.45),(K$133*0.55+J$133*0.45),(L$133*0.55+K$133*0.45),(M$133*0.55+L$133*0.45)),1)</f>
        <v>11.397438</v>
      </c>
    </row>
    <row r="173" customFormat="false" ht="15" hidden="false" customHeight="false" outlineLevel="0" collapsed="false">
      <c r="B173" s="4" t="s">
        <v>336</v>
      </c>
      <c r="C173" s="4"/>
      <c r="D173" s="4"/>
      <c r="E173" s="4"/>
    </row>
    <row r="174" customFormat="false" ht="15" hidden="false" customHeight="false" outlineLevel="0" collapsed="false">
      <c r="B174" s="8" t="s">
        <v>337</v>
      </c>
      <c r="C174" s="72" t="n">
        <f aca="false">EXP(-5800.2206/(Proyecto!$C$26+273.15)+1.3914993-0.048640239*(Proyecto!$C$26+273.15)+0.000041764768*(Proyecto!$C$26+273.15)^2-0.000000014452093*(Proyecto!$C$26+273.15)^3+6.5459673*LN((Proyecto!$C$26+273.15)))/1000</f>
        <v>2.98512706793757</v>
      </c>
    </row>
    <row r="175" customFormat="false" ht="15" hidden="false" customHeight="false" outlineLevel="0" collapsed="false">
      <c r="B175" s="8" t="s">
        <v>338</v>
      </c>
      <c r="C175" s="73" t="n">
        <f aca="false">0.621945*$C$174/(Proyecto!$C$29-$C$174)</f>
        <v>0.0188792683874123</v>
      </c>
    </row>
    <row r="176" customFormat="false" ht="15" hidden="false" customHeight="false" outlineLevel="0" collapsed="false">
      <c r="B176" s="8" t="s">
        <v>339</v>
      </c>
      <c r="C176" s="74" t="n">
        <f aca="false">MAX(0,((2501-2.326*Proyecto!$C$26)*$C$175-1.006*(Proyecto!$C$25-Proyecto!$C$26))/(2501+1.86*Proyecto!$C$25-4.186*Proyecto!$C$26))</f>
        <v>0.014234515540193</v>
      </c>
    </row>
    <row r="177" customFormat="false" ht="15" hidden="false" customHeight="false" outlineLevel="0" collapsed="false">
      <c r="B177" s="8" t="s">
        <v>340</v>
      </c>
      <c r="C177" s="72" t="n">
        <f aca="false">EXP(-5800.2206/(Proyecto!$C$35+273.15)+1.3914993-0.048640239*(Proyecto!$C$35+273.15)+0.000041764768*(Proyecto!$C$35+273.15)^2-0.000000014452093*(Proyecto!$C$35+273.15)^3+6.5459673*LN((Proyecto!$C$35+273.15)))/1000</f>
        <v>2.98512706793757</v>
      </c>
    </row>
    <row r="178" customFormat="false" ht="15" hidden="false" customHeight="false" outlineLevel="0" collapsed="false">
      <c r="B178" s="8" t="s">
        <v>341</v>
      </c>
      <c r="C178" s="74" t="n">
        <f aca="false">0.621945*(Proyecto!$C$36*$C$177)/(Proyecto!$C$29-Proyecto!$C$36*$C$177)</f>
        <v>0.00929850517522001</v>
      </c>
    </row>
    <row r="179" customFormat="false" ht="15" hidden="false" customHeight="false" outlineLevel="0" collapsed="false">
      <c r="B179" s="8" t="s">
        <v>342</v>
      </c>
      <c r="C179" s="15" t="n">
        <f aca="false">MAX(0.5,($C$176-$C$178)*1000)</f>
        <v>4.93601036497297</v>
      </c>
    </row>
    <row r="182" customFormat="false" ht="15" hidden="false" customHeight="false" outlineLevel="0" collapsed="false"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</row>
    <row r="183" customFormat="false" ht="15" hidden="false" customHeight="false" outlineLevel="0" collapsed="false">
      <c r="B183" s="23" t="s">
        <v>55</v>
      </c>
      <c r="C183" s="33" t="s">
        <v>113</v>
      </c>
      <c r="D183" s="33"/>
      <c r="E183" s="33"/>
      <c r="F183" s="33"/>
      <c r="G183" s="33"/>
      <c r="H183" s="33"/>
      <c r="I183" s="33"/>
      <c r="J183" s="33"/>
      <c r="K183" s="33"/>
      <c r="L183" s="33"/>
      <c r="M183" s="24" t="s">
        <v>343</v>
      </c>
    </row>
  </sheetData>
  <mergeCells count="20">
    <mergeCell ref="B2:M2"/>
    <mergeCell ref="B3:M3"/>
    <mergeCell ref="B4:M4"/>
    <mergeCell ref="B5:H5"/>
    <mergeCell ref="B13:D13"/>
    <mergeCell ref="B45:D45"/>
    <mergeCell ref="B62:E62"/>
    <mergeCell ref="B77:G77"/>
    <mergeCell ref="B90:F90"/>
    <mergeCell ref="B96:F96"/>
    <mergeCell ref="B102:D102"/>
    <mergeCell ref="B108:J108"/>
    <mergeCell ref="B117:J117"/>
    <mergeCell ref="B131:M131"/>
    <mergeCell ref="B136:M136"/>
    <mergeCell ref="B142:J142"/>
    <mergeCell ref="B156:J156"/>
    <mergeCell ref="B170:M170"/>
    <mergeCell ref="B173:E173"/>
    <mergeCell ref="C183:L18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2026-09-18T01:21:07Z</dcterms:created>
  <dc:creator>openpyxl</dc:creator>
  <dc:description/>
  <dc:language>en-US</dc:language>
  <cp:lastModifiedBy/>
  <dcterms:modified xsi:type="dcterms:W3CDTF">2026-09-17T18:21:09Z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