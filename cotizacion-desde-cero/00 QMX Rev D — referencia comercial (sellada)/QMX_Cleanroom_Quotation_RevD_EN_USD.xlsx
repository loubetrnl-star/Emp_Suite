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VER" sheetId="1" state="visible" r:id="rId3"/>
    <sheet name="2. EXECUTIVE SUMMARY" sheetId="2" state="visible" r:id="rId4"/>
    <sheet name="3. SCOPE OF WORK" sheetId="3" state="visible" r:id="rId5"/>
    <sheet name="4. EXCLUSIONS &amp; ASSUMPTIONS" sheetId="4" state="visible" r:id="rId6"/>
    <sheet name="5. BOQ DETAIL" sheetId="5" state="visible" r:id="rId7"/>
    <sheet name="6. COST SUMMARY" sheetId="6" state="visible" r:id="rId8"/>
    <sheet name="7. COMMERCIAL TERMS" sheetId="7" state="visible" r:id="rId9"/>
    <sheet name="8. SCHEDULE GANTT" sheetId="8" state="visible" r:id="rId10"/>
    <sheet name="9. VALUE ENGINEERING" sheetId="9" state="visible" r:id="rId11"/>
    <sheet name="10. BASE VS OPTIMIZED" sheetId="10" state="visible" r:id="rId12"/>
    <sheet name="11. CLIENT BOQ FORMA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<sst xmlns="http://schemas.openxmlformats.org/spreadsheetml/2006/main" count="1554" uniqueCount="1069">
  <si>
    <t xml:space="preserve">LESTRAL CONSTRUCTORA
Electromecánica del Pacífico (EMP)</t>
  </si>
  <si>
    <t xml:space="preserve">INDUSTRIAL TURNKEY PROJECTS  •  ENGINEERING + CONSTRUCTION + INSTALLATION</t>
  </si>
  <si>
    <t xml:space="preserve">TURNKEY CONSTRUCTION PROPOSAL
CLEANROOM WORKSHOP RENOVATION</t>
  </si>
  <si>
    <t xml:space="preserve">QMX Mexico Workshop Renovation Project  •  Baja California, Mexico</t>
  </si>
  <si>
    <t xml:space="preserve">CLIENT</t>
  </si>
  <si>
    <t xml:space="preserve">QMX / QIUSHI</t>
  </si>
  <si>
    <t xml:space="preserve">PROJECT</t>
  </si>
  <si>
    <t xml:space="preserve">Mexico Cleanroom Workshop Renovation Project</t>
  </si>
  <si>
    <t xml:space="preserve">SITE</t>
  </si>
  <si>
    <t xml:space="preserve">Baja California, Mexico</t>
  </si>
  <si>
    <t xml:space="preserve">BASIS OF QUOTATION</t>
  </si>
  <si>
    <t xml:space="preserve">Executive project and bill of quantities dated 10-Sep-2026 (Shanghai Jingdian IFC drawing set)</t>
  </si>
  <si>
    <t xml:space="preserve">QUOTATION No.</t>
  </si>
  <si>
    <t xml:space="preserve">EMP-QMX-2026-09-CR  •  Rev. D</t>
  </si>
  <si>
    <t xml:space="preserve">DATE</t>
  </si>
  <si>
    <t xml:space="preserve">10 September 2026</t>
  </si>
  <si>
    <t xml:space="preserve">VALIDITY</t>
  </si>
  <si>
    <t xml:space="preserve">30 calendar days</t>
  </si>
  <si>
    <t xml:space="preserve">CURRENCY</t>
  </si>
  <si>
    <t xml:space="preserve">US Dollars (USD)</t>
  </si>
  <si>
    <t xml:space="preserve">CONTRACT DURATION</t>
  </si>
  <si>
    <t xml:space="preserve">24 weeks from advance payment</t>
  </si>
  <si>
    <t xml:space="preserve">SUBMITTED BY</t>
  </si>
  <si>
    <t xml:space="preserve">ING. RODRIGO NUÑEZ LOUBET</t>
  </si>
  <si>
    <t xml:space="preserve">TOTAL TURNKEY CONSTRUCTION PRICE (VAT INCLUDED)</t>
  </si>
  <si>
    <t xml:space="preserve">CONFIDENTIAL PROPOSAL  •  Prepared exclusively for QMX  •  Blvd. Insurgentes, Tijuana, Baja California, Mexico
Single point of accountability  •  Engineering, procurement, construction and commissioning under one contract
This document supersedes proposal EMP-QMX-2026-08-F1 Rev. C.1 in respect of the scope covered by the 10-Sep-2026 executive project.</t>
  </si>
  <si>
    <t xml:space="preserve">LESTRAL CONSTRUCTORA, S. DE R.L. DE C.V.   |   ELECTROMECÁNICA DEL PACÍFICO (EMP)</t>
  </si>
  <si>
    <t xml:space="preserve">2. EXECUTIVE SUMMARY</t>
  </si>
  <si>
    <t xml:space="preserve">Lestral Constructora / Electromecánica del Pacífico (EMP) is pleased to submit this turnkey construction proposal for the renovation of the QMX workshop in Baja California, Mexico, comprising an ISO-class controlled environment together with its supporting production, inspection, change, transfer and office areas.
The proposal has been priced line by line against the executive project issued on 10 September 2026 by Shanghai Jingdian Planning &amp; Architectural Design: architectural, structural, HVAC, plumbing, electrical, fire protection and compressed air drawing sets, together with the bill of quantities in the same package. Every quantity in this quotation is taken directly from that bill of quantities, unit by unit, so that the offer can be compared against the client's own document without re-measurement.
The scope covers eight disciplines and 341 priced line items: preliminaries and construction measures; architectural, structural steel and finishes; HVAC and cleanroom air systems; electrical installations; plumbing, water supply and drainage; fire protection and fire alarm; IT, CCTV and access control; and compressed air distribution. EMP acts as a single point of accountability for engineering adaptation, procurement, construction, testing and commissioning.
Two matters require the client's attention and are addressed in the Value Engineering section. First, the design specifies equipment at 380 V three-phase, which is not a distribution voltage available in Mexico; the bill of quantities resolves this with a 200 kVA step-down transformer, but re-specifying the equipment at 480/277-220 V removes the transformer entirely. Second, the fire protection design follows Chinese GB codes; Mexican authority approval and plant insurance both work from NFPA. EMP has priced the project exactly as designed, and quantified both alternatives separately so the client can decide on the merits.</t>
  </si>
  <si>
    <t xml:space="preserve">COST BY DISCIPLINE</t>
  </si>
  <si>
    <t xml:space="preserve">DISCIPLINE</t>
  </si>
  <si>
    <t xml:space="preserve">ITEMS</t>
  </si>
  <si>
    <t xml:space="preserve">DIRECT COST (USD)</t>
  </si>
  <si>
    <t xml:space="preserve">% OF DIRECT</t>
  </si>
  <si>
    <t xml:space="preserve">01 PRELIMINARIES AND CONSTRUCTION MEASURES</t>
  </si>
  <si>
    <t xml:space="preserve">02 ARCHITECTURAL, STRUCTURE AND FINISHES</t>
  </si>
  <si>
    <t xml:space="preserve">03 HVAC AND CLEANROOM AIR SYSTEMS</t>
  </si>
  <si>
    <t xml:space="preserve">04 ELECTRICAL INSTALLATIONS</t>
  </si>
  <si>
    <t xml:space="preserve">05 PLUMBING, WATER SUPPLY AND DRAINAGE</t>
  </si>
  <si>
    <t xml:space="preserve">06 FIRE PROTECTION AND FIRE ALARM</t>
  </si>
  <si>
    <t xml:space="preserve">07 IT, CCTV AND ACCESS CONTROL</t>
  </si>
  <si>
    <t xml:space="preserve">08 COMPRESSED AIR DISTRIBUTION</t>
  </si>
  <si>
    <t xml:space="preserve">TOTAL DIRECT COST</t>
  </si>
  <si>
    <t xml:space="preserve">Total price before VAT</t>
  </si>
  <si>
    <t xml:space="preserve">Total price including 8% VAT</t>
  </si>
  <si>
    <t xml:space="preserve">Contract duration (weeks)</t>
  </si>
  <si>
    <t xml:space="preserve">Value engineering saving identified</t>
  </si>
  <si>
    <t xml:space="preserve">Optimized duration (weeks)</t>
  </si>
  <si>
    <t xml:space="preserve">3. DETAILED SCOPE OF WORK BY SYSTEM AND DISCIPLINE</t>
  </si>
  <si>
    <t xml:space="preserve">The scope below is the contractual description of the works. It corresponds item by item to the priced bill of quantities in sheet 5 and to the executive project issued 10-Sep-2026.</t>
  </si>
  <si>
    <t xml:space="preserve">A.  PRELIMINARIES AND CONSTRUCTION MEASURES</t>
  </si>
  <si>
    <t xml:space="preserve">▪</t>
  </si>
  <si>
    <t xml:space="preserve">Site management, superintendence, safety officer and site administration for the full duration of the works.</t>
  </si>
  <si>
    <t xml:space="preserve">Temporary site facilities, scaffolding, lifting and rigging, temporary utilities, small tools and site housekeeping.</t>
  </si>
  <si>
    <t xml:space="preserve">Shop drawings, adaptation of the IFC package to Mexican codes (NOM-001-SEDE-2012, NOM-002-STPS-2010, NFPA references) and production of as-built drawings.</t>
  </si>
  <si>
    <t xml:space="preserve">Setting out, levels and survey; sample submittals, mock-ups and laboratory testing; quality supervision under an inspection and test plan.</t>
  </si>
  <si>
    <t xml:space="preserve">Statutory insurance and contributions, protection of finished works, daily progress reporting with photographic record.</t>
  </si>
  <si>
    <t xml:space="preserve">Indoor air quality testing at completion and fire protection testing, verification and authority sign-off.</t>
  </si>
  <si>
    <t xml:space="preserve">B.  ARCHITECTURAL, STRUCTURE AND FINISHES</t>
  </si>
  <si>
    <t xml:space="preserve">Structural steel: columns, beams, purlins, tie rods, struts, access ladders, embedded plates and high-strength bolting, shop primed and erected.</t>
  </si>
  <si>
    <t xml:space="preserve">Cleanroom envelope in 50 mm rock wool sandwich panel with aluminium profiles and fully sealed joints, including walkable ceiling panel.</t>
  </si>
  <si>
    <t xml:space="preserve">Lightweight block walls with cement render, dowelling, tie bars, bond beams and lintels; mesh enclosure fencing.</t>
  </si>
  <si>
    <t xml:space="preserve">Floors: electrostatic-dissipative epoxy system with copper foil grid over epoxy mortar, standard two-component epoxy, anti-slip tile over polyurethane waterproofing.</t>
  </si>
  <si>
    <t xml:space="preserve">Cleanroom doors (double leaf, single leaf and sliding) with complete hardware; viewing windows in tempered glazing; restroom wood-veneer doors.</t>
  </si>
  <si>
    <t xml:space="preserve">Restroom fit-out: wall and floor tile, aluminium lay-in ceiling, marble lavatory counter, framed mirror, toilet partitions, grab rails and accessories.</t>
  </si>
  <si>
    <t xml:space="preserve">Demolition of existing restrooms, partitions and ceilings, with floor repair matched to the adjacent finish.</t>
  </si>
  <si>
    <t xml:space="preserve">C.  HVAC AND CLEANROOM AIR SYSTEMS</t>
  </si>
  <si>
    <t xml:space="preserve">Cleanroom air conditioning: high static pressure fan coil units served by a 123.5 kW outdoor condensing unit, with thermostats, refnet manifolds and complete refrigerant distribution.</t>
  </si>
  <si>
    <t xml:space="preserve">Cleanroom outside air: direct-expansion air handling unit of 2,500 m3/h at 300 Pa external static pressure with its outdoor condensing section, motorized and manual dampers, and differential pressure gauges for the pressure cascade.</t>
  </si>
  <si>
    <t xml:space="preserve">Non-classified area conditioning: four-way ceiling cassette multi-split indoor units served by a 33.5 kW outdoor unit, and a total heat recovery ventilator for outside air.</t>
  </si>
  <si>
    <t xml:space="preserve">Ventilation and exhaust: inline and cabinet centrifugal fans, restroom exhaust fans, activated carbon filtration unit for process exhaust, weatherproof louvers and weather caps.</t>
  </si>
  <si>
    <t xml:space="preserve">Galvanized sheet steel ductwork fabricated and installed to GB 50243-2016 / SMACNA equivalent leakage class, with class B1 flame-retardant elastomeric insulation and canvas flexible connectors.</t>
  </si>
  <si>
    <t xml:space="preserve">Return air column enclosures, supports and hangers, condensate drainage in UPVC, refrigerant top-up charge and all piping accessories.</t>
  </si>
  <si>
    <t xml:space="preserve">Automatic control system for the cleanroom HVAC: controllers, field sensors, wiring, programming and commissioning.</t>
  </si>
  <si>
    <t xml:space="preserve">Testing, adjusting and balancing of all air systems, with documented results per zone.</t>
  </si>
  <si>
    <t xml:space="preserve">D.  ELECTRICAL INSTALLATIONS</t>
  </si>
  <si>
    <t xml:space="preserve">Indoor dry-type transformer of 200 kVA, 480 V primary / 380 V secondary, with pad and connections, as specified in the executive project.</t>
  </si>
  <si>
    <t xml:space="preserve">Eight distribution boards (1APZ, 1AL1, 1AP-KT, 2AC-KT1, 2AC-KT2, 1AC-PW1, 1AC-PW2, 1ALED) per single-line diagram, complete with breakers and terminations, plus modification of existing boards affected by the new layout.</t>
  </si>
  <si>
    <t xml:space="preserve">Hot-dip galvanized cable tray in ladder and solid-bottom types with bonding jumpers; steel conduit systems concealed in the ceiling void.</t>
  </si>
  <si>
    <t xml:space="preserve">Copper power cabling in low-smoke halogen-free XLPE from 3x4 mm2 to 4x150+1x70 mm2, with indoor dry-type terminations.</t>
  </si>
  <si>
    <t xml:space="preserve">Lighting: LED flat panel luminaires surface and recessed, emergency luminaires with battery back-up, directional and exit sign luminaires.</t>
  </si>
  <si>
    <t xml:space="preserve">Switches, safety receptacles including weatherproof types, junction boxes and all final connections.</t>
  </si>
  <si>
    <t xml:space="preserve">Earthing and bonding: supplementary equipotential bonding boxes, galvanized flat steel earthing conductors, earthing conductors in conduit, with resistance measurement and certification.</t>
  </si>
  <si>
    <t xml:space="preserve">Commissioning of the power distribution system below 1 kV and removal of existing electrical installations.</t>
  </si>
  <si>
    <t xml:space="preserve">E.  PLUMBING, WATER SUPPLY AND DRAINAGE</t>
  </si>
  <si>
    <t xml:space="preserve">Sanitary fixtures: water closets, sensor-flush urinals, undermount lavatories with mixer faucets and mop sink.</t>
  </si>
  <si>
    <t xml:space="preserve">Potable water distribution in PP-R from De20 to De40, concealed in ceiling void and chased in wall.</t>
  </si>
  <si>
    <t xml:space="preserve">Sanitary drainage: internally epoxy-coated galvanized steel main of De110 and PVC branches of De110, De75 and De50, with floor drains and cleanouts.</t>
  </si>
  <si>
    <t xml:space="preserve">Valves and specialties: brass and iron gate valves, check valves, rubber flexible joints, pressure gauge and vacuum breaker.</t>
  </si>
  <si>
    <t xml:space="preserve">Packaged sewage lifting station with two pumps of 10 m3/h at 20 m head and control panel, plus a 3.6 m3/h sewage pump with its control panel.</t>
  </si>
  <si>
    <t xml:space="preserve">Excavation, backfill, slab restoration and wall chasing for buried and concealed pipework, with firestop sealing at all penetrations.</t>
  </si>
  <si>
    <t xml:space="preserve">Pressure testing, leak testing and flushing of the complete installation, and removal of existing plumbing pipework and equipment.</t>
  </si>
  <si>
    <t xml:space="preserve">F.  FIRE PROTECTION AND FIRE ALARM</t>
  </si>
  <si>
    <t xml:space="preserve">Fire hydrant system: hot-dip galvanized piping in DN100 and DN65 with grooved coupling system, five indoor hydrant cabinets complete with valve, nozzle and 25 m hose, and eight fire extinguisher cabinets with two extinguishers each.</t>
  </si>
  <si>
    <t xml:space="preserve">Sprinkler system: hot-dip galvanized piping from DN25 to DN150, 118 pendent heads of K=80, signal butterfly valve with tamper switch, water flow indicator, automatic air release and inspector's test valve.</t>
  </si>
  <si>
    <t xml:space="preserve">Seismic bracing, supports and hangers, firestop sealing at all penetrations, and hydrostatic testing, leak testing and flushing of both wet systems.</t>
  </si>
  <si>
    <t xml:space="preserve">Fire alarm: floor-standing annunciator and control panel, addressable photoelectric smoke detectors, audible and visual devices, speakers, manual call points, hydrant call buttons and fire telephone jacks.</t>
  </si>
  <si>
    <t xml:space="preserve">Addressable input, output and input/output modules with bus short-circuit isolators, in fire-resistant cable and dedicated steel conduit.</t>
  </si>
  <si>
    <t xml:space="preserve">Point-to-point verification, programming and commissioning of the complete detection and alarm system, and removal of existing fire protection installations.</t>
  </si>
  <si>
    <t xml:space="preserve">G.  IT, CCTV AND ACCESS CONTROL</t>
  </si>
  <si>
    <t xml:space="preserve">CCTV: eight indoor infrared network bullet cameras of 4 MP or higher with wide dynamic range and audio input, on CAT.6 cabling in dedicated tray and conduit, integrated with the existing NVR and server.</t>
  </si>
  <si>
    <t xml:space="preserve">Access control: seven face recognition terminals with switching power supplies, single and double door magnetic locks and request-to-exit buttons.</t>
  </si>
  <si>
    <t xml:space="preserve">Shielded and unshielded power cabling, steel conduit systems and junction boxes for both subsystems.</t>
  </si>
  <si>
    <t xml:space="preserve">Configuration, integration with the owner's existing server and card issuer, functional testing and commissioning.</t>
  </si>
  <si>
    <t xml:space="preserve">Head-end equipment (server, switches, NVR and card issuer) is reused from the owner's existing installation, as stated in the executive project.</t>
  </si>
  <si>
    <t xml:space="preserve">H.  COMPRESSED AIR DISTRIBUTION</t>
  </si>
  <si>
    <t xml:space="preserve">SUS304 stainless steel main header of DN50 with all fittings, supports and hangers.</t>
  </si>
  <si>
    <t xml:space="preserve">Eight DN20 drops with manual shut-off valves pre-installed on the header for future branch connection, at 0.8 m per drop.</t>
  </si>
  <si>
    <t xml:space="preserve">Wall penetrations with firestop sealing, pressure testing, leak testing and line purging.</t>
  </si>
  <si>
    <t xml:space="preserve">Scope is limited to the main header and the pre-installed valves; branch piping downstream of each valve to the point of use is not included, as stated in the executive project.</t>
  </si>
  <si>
    <t xml:space="preserve">4. EXCLUSIONS, ASSUMPTIONS AND BASIS OF PRICE</t>
  </si>
  <si>
    <t xml:space="preserve">EXCLUSIONS</t>
  </si>
  <si>
    <t xml:space="preserve">1</t>
  </si>
  <si>
    <t xml:space="preserve">Process and production equipment, and any utility connection downstream of the pre-installed valve or terminal box left by this contract.</t>
  </si>
  <si>
    <t xml:space="preserve">2</t>
  </si>
  <si>
    <t xml:space="preserve">Compressed air branch piping downstream of the eight pre-installed DN20 valves; air compressor, dryer, receiver and treatment train.</t>
  </si>
  <si>
    <t xml:space="preserve">3</t>
  </si>
  <si>
    <t xml:space="preserve">Head-end low-voltage equipment: CCTV server, switches, NVR, access control server and card issuer, all reused from the owner's existing installation.</t>
  </si>
  <si>
    <t xml:space="preserve">4</t>
  </si>
  <si>
    <t xml:space="preserve">Office furniture, workstations, lockers, cabinets, changing room lavatory counters and waste bins, as noted in the client's bill of quantities.</t>
  </si>
  <si>
    <t xml:space="preserve">5</t>
  </si>
  <si>
    <t xml:space="preserve">Deionized, purified or process water generation, storage and distribution.</t>
  </si>
  <si>
    <t xml:space="preserve">6</t>
  </si>
  <si>
    <t xml:space="preserve">Municipal, state and federal permits, licences and rights of way; utility company connection fees and demand charges.</t>
  </si>
  <si>
    <t xml:space="preserve">7</t>
  </si>
  <si>
    <t xml:space="preserve">Electrical service upgrade upstream of the existing main switchboard, including utility transformer, metering and primary feeder.</t>
  </si>
  <si>
    <t xml:space="preserve">8</t>
  </si>
  <si>
    <t xml:space="preserve">Structural reinforcement of the existing building slab, foundations or roof beyond the steelwork shown in the executive project.</t>
  </si>
  <si>
    <t xml:space="preserve">9</t>
  </si>
  <si>
    <t xml:space="preserve">Removal, treatment or disposal of hazardous materials, asbestos or contaminated soil discovered during the works.</t>
  </si>
  <si>
    <t xml:space="preserve">10</t>
  </si>
  <si>
    <t xml:space="preserve">Cleanroom garments, consumables, spare filters beyond the first set installed, and operator training beyond the handover session.</t>
  </si>
  <si>
    <t xml:space="preserve">11</t>
  </si>
  <si>
    <t xml:space="preserve">Third-party certification bodies' fees where the owner elects to appoint an independent certifier.</t>
  </si>
  <si>
    <t xml:space="preserve">12</t>
  </si>
  <si>
    <t xml:space="preserve">Import duties and customs charges on owner-supplied equipment.</t>
  </si>
  <si>
    <t xml:space="preserve">ASSUMPTIONS AND BASIS OF PRICE</t>
  </si>
  <si>
    <t xml:space="preserve">All quantities are taken from the client's bill of quantities dated 10-Sep-2026 without re-measurement. Quantities are subject to verification against the IFC drawings during shop drawing production; variations are settled at the unit prices in this quotation.</t>
  </si>
  <si>
    <t xml:space="preserve">Unit prices are firm for 30 calendar days and are expressed in US dollars. Where a reference exchange rate is required for peso-denominated inputs, 17.00 MXN per USD has been used; the rate is reconsidered at contract signature.</t>
  </si>
  <si>
    <t xml:space="preserve">Prices include material, labour, equipment, tools, transport, supervision, site overheads and the contractor's warranty obligations, delivered and installed in place.</t>
  </si>
  <si>
    <t xml:space="preserve">Free, safe and continuous access to the work areas during the agreed working hours, with a clear work front and adequate laydown area inside the plant.</t>
  </si>
  <si>
    <t xml:space="preserve">Existing electrical service has sufficient spare capacity at the main switchboard to serve the new load; this is confirmed by measurement during the first two weeks and reported to the owner.</t>
  </si>
  <si>
    <t xml:space="preserve">The 380 V equipment specified in the executive project is priced as designed, together with the 200 kVA step-down transformer required to serve it.</t>
  </si>
  <si>
    <t xml:space="preserve">The fire protection system is priced as designed to GB codes. Approval by the Mexican authority and by the plant insurer is assumed to be obtained by the owner on that basis, or the NFPA alternative in the Value Engineering section is adopted.</t>
  </si>
  <si>
    <t xml:space="preserve">Building structure, slab and roof are sound and able to receive the new loads without reinforcement other than that shown in the drawings.</t>
  </si>
  <si>
    <t xml:space="preserve">Work is executed on a single day shift, Monday to Saturday. A night-shift and acceleration allowance is carried in the preliminaries and is released if 24-hour access is granted.</t>
  </si>
  <si>
    <t xml:space="preserve">VAT of 8% applies under the Northern Border Region tax incentive for Baja California.</t>
  </si>
  <si>
    <t xml:space="preserve">Changes in scope, quantity or specification are executed against a signed change order at the unit prices herein.</t>
  </si>
  <si>
    <t xml:space="preserve">5. PRICED BILL OF QUANTITIES  —  ALL FIGURES IN USD</t>
  </si>
  <si>
    <t xml:space="preserve">EDITABLE CELLS: columns E and F (material and installation unit prices), shown in blue. Everything else is formula-driven and updates automatically.</t>
  </si>
  <si>
    <t xml:space="preserve">CODE</t>
  </si>
  <si>
    <t xml:space="preserve">DESCRIPTION</t>
  </si>
  <si>
    <t xml:space="preserve">UNIT</t>
  </si>
  <si>
    <t xml:space="preserve">QTY</t>
  </si>
  <si>
    <t xml:space="preserve">MATERIAL U.P.</t>
  </si>
  <si>
    <t xml:space="preserve">INSTALL U.P.</t>
  </si>
  <si>
    <t xml:space="preserve">TOTAL U.P.</t>
  </si>
  <si>
    <t xml:space="preserve">AMOUNT</t>
  </si>
  <si>
    <t xml:space="preserve">SECTION A  —  01 PRELIMINARIES AND CONSTRUCTION MEASURES</t>
  </si>
  <si>
    <t xml:space="preserve">A-001</t>
  </si>
  <si>
    <t xml:space="preserve">Site management: superintendent, safety officer and site administration for the full construction period</t>
  </si>
  <si>
    <t xml:space="preserve">LOT</t>
  </si>
  <si>
    <t xml:space="preserve">A-002</t>
  </si>
  <si>
    <t xml:space="preserve">Temporary site facilities: erection, use and dismantling of site office, storage, changing area and temporary services</t>
  </si>
  <si>
    <t xml:space="preserve">A-003</t>
  </si>
  <si>
    <t xml:space="preserve">Site safety and security measures: signage, barriers, PPE, fire watch and access control</t>
  </si>
  <si>
    <t xml:space="preserve">A-004</t>
  </si>
  <si>
    <t xml:space="preserve">Unloading, receiving, custody and internal handling of owner-supplied and contractor-supplied equipment and materials</t>
  </si>
  <si>
    <t xml:space="preserve">A-005</t>
  </si>
  <si>
    <t xml:space="preserve">Scaffolding and elevated work platforms: erection, dismantling, rental, transport and consumables</t>
  </si>
  <si>
    <t xml:space="preserve">A-006</t>
  </si>
  <si>
    <t xml:space="preserve">All temporary utilities consumed during construction (power, water, compressed air)</t>
  </si>
  <si>
    <t xml:space="preserve">A-007</t>
  </si>
  <si>
    <t xml:space="preserve">Insurance for personnel and equipment: civil liability, all-risk construction, IMSS and statutory contributions</t>
  </si>
  <si>
    <t xml:space="preserve">A-008</t>
  </si>
  <si>
    <t xml:space="preserve">Lifting, hoisting and rigging required for materials and equipment placement</t>
  </si>
  <si>
    <t xml:space="preserve">A-009</t>
  </si>
  <si>
    <t xml:space="preserve">Shop drawings, code-compliance adaptation of the IFC package to Mexican standards (NOM-001-SEDE, NOM-002-STPS, NFPA) and as-built drawing production</t>
  </si>
  <si>
    <t xml:space="preserve">A-010</t>
  </si>
  <si>
    <t xml:space="preserve">Secondary material handling and internal transport within the plant</t>
  </si>
  <si>
    <t xml:space="preserve">A-011</t>
  </si>
  <si>
    <t xml:space="preserve">Project elevations, setting out, layout lines and surveying</t>
  </si>
  <si>
    <t xml:space="preserve">A-012</t>
  </si>
  <si>
    <t xml:space="preserve">Daily progress reporting and photographic record</t>
  </si>
  <si>
    <t xml:space="preserve">A-013</t>
  </si>
  <si>
    <t xml:space="preserve">Protection of completed works and finished surfaces until handover</t>
  </si>
  <si>
    <t xml:space="preserve">A-014</t>
  </si>
  <si>
    <t xml:space="preserve">Material sample submittals, mock-ups and laboratory testing</t>
  </si>
  <si>
    <t xml:space="preserve">A-015</t>
  </si>
  <si>
    <t xml:space="preserve">Quality supervision of materials and workmanship, including inspection and test plan (ITP)</t>
  </si>
  <si>
    <t xml:space="preserve">A-016</t>
  </si>
  <si>
    <t xml:space="preserve">Night-shift and schedule acceleration allowance</t>
  </si>
  <si>
    <t xml:space="preserve">A-017</t>
  </si>
  <si>
    <t xml:space="preserve">Small tools and minor equipment usage</t>
  </si>
  <si>
    <t xml:space="preserve">A-018</t>
  </si>
  <si>
    <t xml:space="preserve">Site housekeeping, waste segregation, removal and authorized disposal</t>
  </si>
  <si>
    <t xml:space="preserve">A-019</t>
  </si>
  <si>
    <t xml:space="preserve">Fees payable to government authorities during contract execution</t>
  </si>
  <si>
    <t xml:space="preserve">A-020</t>
  </si>
  <si>
    <t xml:space="preserve">Indoor air quality testing at completion</t>
  </si>
  <si>
    <t xml:space="preserve">A-021</t>
  </si>
  <si>
    <t xml:space="preserve">Fire protection testing, inspection and authority sign-off</t>
  </si>
  <si>
    <t xml:space="preserve">A-022</t>
  </si>
  <si>
    <t xml:space="preserve">Design drawing sets, transmittals and signature approval records</t>
  </si>
  <si>
    <t xml:space="preserve">A TOTAL</t>
  </si>
  <si>
    <t xml:space="preserve">SUBTOTAL SECTION A  —  01 PRELIMINARIES AND CONSTRUCTION MEASURES     </t>
  </si>
  <si>
    <t xml:space="preserve">SECTION B  —  02 ARCHITECTURAL, STRUCTURE AND FINISHES</t>
  </si>
  <si>
    <t xml:space="preserve">B-001</t>
  </si>
  <si>
    <t xml:space="preserve">Steel columns, 200x200x6 Q235B equivalent ASTM A36/A572, including base plates, stiffeners, grade-C bolts and anchor bolts, shop primed</t>
  </si>
  <si>
    <t xml:space="preserve">TON</t>
  </si>
  <si>
    <t xml:space="preserve">B-002</t>
  </si>
  <si>
    <t xml:space="preserve">Steel beams HM244x175x7x11 and HM294x200x8x12 Q235B equivalent, including connections and shop priming</t>
  </si>
  <si>
    <t xml:space="preserve">B-003</t>
  </si>
  <si>
    <t xml:space="preserve">Steel purlins, straight and diagonal tie rods, struts and access ladders: channel, angle, rectangular tube, plate and I-beam</t>
  </si>
  <si>
    <t xml:space="preserve">B-004</t>
  </si>
  <si>
    <t xml:space="preserve">Embedded steel plates and inserts per drawings, including derusting and anti-corrosive primer</t>
  </si>
  <si>
    <t xml:space="preserve">B-005</t>
  </si>
  <si>
    <t xml:space="preserve">High-strength structural bolts M20, grade 10.9, including washers and torque record</t>
  </si>
  <si>
    <t xml:space="preserve">SET</t>
  </si>
  <si>
    <t xml:space="preserve">B-006</t>
  </si>
  <si>
    <t xml:space="preserve">200 mm lightweight block wall with cement mortar render, including dowelling, tie bars, bond beam, curb and lintels</t>
  </si>
  <si>
    <t xml:space="preserve">M2</t>
  </si>
  <si>
    <t xml:space="preserve">B-007</t>
  </si>
  <si>
    <t xml:space="preserve">Restroom wall tile 300x600 mm set with specialty adhesive over 1.5 mm polyurethane waterproofing membrane</t>
  </si>
  <si>
    <t xml:space="preserve">B-008</t>
  </si>
  <si>
    <t xml:space="preserve">Cleanroom sandwich panel partition, 50 mm rock wool core, including aluminum profiles and full silicone sealing of joints</t>
  </si>
  <si>
    <t xml:space="preserve">B-009</t>
  </si>
  <si>
    <t xml:space="preserve">Wire mesh enclosure fence, 50 mm square tube posts at 2.5 m, mesh wire not less than 2.4 mm, including gate and floor anchoring</t>
  </si>
  <si>
    <t xml:space="preserve">LM</t>
  </si>
  <si>
    <t xml:space="preserve">B-010</t>
  </si>
  <si>
    <t xml:space="preserve">Anti-slip floor tile 600x600 mm set with specialty adhesive over 1.5 mm polyurethane waterproofing membrane</t>
  </si>
  <si>
    <t xml:space="preserve">B-011</t>
  </si>
  <si>
    <t xml:space="preserve">Threshold stone including adhesive, substrate preparation, levelling, chamfering and edge polishing</t>
  </si>
  <si>
    <t xml:space="preserve">B-012</t>
  </si>
  <si>
    <t xml:space="preserve">Electrostatic-dissipative (ESD) epoxy floor system: epoxy primer, epoxy mortar, ESD epoxy mortar, copper foil grid and epoxy topcoat</t>
  </si>
  <si>
    <t xml:space="preserve">B-013</t>
  </si>
  <si>
    <t xml:space="preserve">Two-component epoxy floor coating, 2 mm thickness, including substrate cleaning and preparation</t>
  </si>
  <si>
    <t xml:space="preserve">B-014</t>
  </si>
  <si>
    <t xml:space="preserve">Auxiliary materials for flooring works (sealants, tapes, transition profiles, consumables)</t>
  </si>
  <si>
    <t xml:space="preserve">B-015</t>
  </si>
  <si>
    <t xml:space="preserve">Cleanroom ceiling in 50 mm hollow-core sandwich panel, including aluminum profiles and full sealing of joints</t>
  </si>
  <si>
    <t xml:space="preserve">B-016</t>
  </si>
  <si>
    <t xml:space="preserve">Restroom aluminum lay-in ceiling 600x600x0.8 mm, including openings, edge trim, light-gauge steel grid and all fixings</t>
  </si>
  <si>
    <t xml:space="preserve">B-017</t>
  </si>
  <si>
    <t xml:space="preserve">Auxiliary materials for ceiling works (hangers, sealants, trims, consumables)</t>
  </si>
  <si>
    <t xml:space="preserve">B-018</t>
  </si>
  <si>
    <t xml:space="preserve">Cleanroom panel double-leaf door M-01, 2000x2330 mm, complete hardware set per drawings</t>
  </si>
  <si>
    <t xml:space="preserve">PC</t>
  </si>
  <si>
    <t xml:space="preserve">B-019</t>
  </si>
  <si>
    <t xml:space="preserve">Cleanroom panel sliding door, 2000x2330 mm, complete hardware set per drawings</t>
  </si>
  <si>
    <t xml:space="preserve">B-020</t>
  </si>
  <si>
    <t xml:space="preserve">Cleanroom panel single-leaf door M-02, 1000x2330 mm, complete hardware set per drawings</t>
  </si>
  <si>
    <t xml:space="preserve">B-021</t>
  </si>
  <si>
    <t xml:space="preserve">Restroom single-leaf door M-03, 1000x2300 mm, WD-01 wood-veneer finish, including frame and hardware</t>
  </si>
  <si>
    <t xml:space="preserve">B-022</t>
  </si>
  <si>
    <t xml:space="preserve">Restroom single-leaf door M-04, 750x2300 mm, WD-01 wood-veneer finish, including frame and hardware</t>
  </si>
  <si>
    <t xml:space="preserve">B-023</t>
  </si>
  <si>
    <t xml:space="preserve">Viewing window 2300x1500 mm, 6 mm tempered single glazing, flush-mounted in cleanroom panel</t>
  </si>
  <si>
    <t xml:space="preserve">B-024</t>
  </si>
  <si>
    <t xml:space="preserve">Viewing window 1150x1500 mm, 6 mm tempered single glazing, flush-mounted in cleanroom panel</t>
  </si>
  <si>
    <t xml:space="preserve">B-025</t>
  </si>
  <si>
    <t xml:space="preserve">Lavatory counter with marble top 2300x600 mm, including chamfering and edge polishing</t>
  </si>
  <si>
    <t xml:space="preserve">B-026</t>
  </si>
  <si>
    <t xml:space="preserve">Silver mirror 2300x1150 mm with 1.2 mm brushed natural stainless steel frame per drawings</t>
  </si>
  <si>
    <t xml:space="preserve">B-027</t>
  </si>
  <si>
    <t xml:space="preserve">Prefabricated toilet partitions and urinal screens, including hardware</t>
  </si>
  <si>
    <t xml:space="preserve">B-028</t>
  </si>
  <si>
    <t xml:space="preserve">Accessibility grab rail, factory-finished, installed per drawings</t>
  </si>
  <si>
    <t xml:space="preserve">B-029</t>
  </si>
  <si>
    <t xml:space="preserve">Coat hook (single), 304 stainless steel bright finish, impact protected</t>
  </si>
  <si>
    <t xml:space="preserve">B-030</t>
  </si>
  <si>
    <t xml:space="preserve">Toilet paper holder with shelf, reference 160x100 mm, 304 stainless steel bright finish, no exposed fixings</t>
  </si>
  <si>
    <t xml:space="preserve">B-031</t>
  </si>
  <si>
    <t xml:space="preserve">Demolition and making good: existing restroom walls, floors and ceilings; other partition walls and ceilings; floor repair to match adjacent finish</t>
  </si>
  <si>
    <t xml:space="preserve">B TOTAL</t>
  </si>
  <si>
    <t xml:space="preserve">SUBTOTAL SECTION B  —  02 ARCHITECTURAL, STRUCTURE AND FINISHES     </t>
  </si>
  <si>
    <t xml:space="preserve">SECTION C  —  03 HVAC AND CLEANROOM AIR SYSTEMS</t>
  </si>
  <si>
    <t xml:space="preserve">C-001</t>
  </si>
  <si>
    <t xml:space="preserve">High static pressure fan coil unit, 10.0 kW cooling / 11.2 kW heating, 250 W, 1ph 220V 60Hz, with integral condensate lift pump</t>
  </si>
  <si>
    <t xml:space="preserve">C-002</t>
  </si>
  <si>
    <t xml:space="preserve">High static pressure fan coil unit, 12.5 kW cooling / 14.0 kW heating, 340 W, 1ph 220V 60Hz, with integral condensate lift pump</t>
  </si>
  <si>
    <t xml:space="preserve">C-003</t>
  </si>
  <si>
    <t xml:space="preserve">Multi-split indoor unit, 4-way ceiling cassette, 5.6 kW cooling / 6.5 kW heating, 40 W, 1ph 220V 60Hz</t>
  </si>
  <si>
    <t xml:space="preserve">C-004</t>
  </si>
  <si>
    <t xml:space="preserve">Outdoor condensing unit serving the fan coil system, 123.5 kW cooling / 137.5 kW heating, 41.57 kW, 3ph 60Hz, on outdoor housekeeping pad</t>
  </si>
  <si>
    <t xml:space="preserve">C-005</t>
  </si>
  <si>
    <t xml:space="preserve">Wall-mounted thermostat with room temperature control</t>
  </si>
  <si>
    <t xml:space="preserve">C-006</t>
  </si>
  <si>
    <t xml:space="preserve">Refnet branch manifold, type E-102SN</t>
  </si>
  <si>
    <t xml:space="preserve">C-007</t>
  </si>
  <si>
    <t xml:space="preserve">Refnet branch manifold, type E-162SN</t>
  </si>
  <si>
    <t xml:space="preserve">C-008</t>
  </si>
  <si>
    <t xml:space="preserve">Refnet branch manifold, type E-242SN</t>
  </si>
  <si>
    <t xml:space="preserve">C-009</t>
  </si>
  <si>
    <t xml:space="preserve">Refnet branch manifold, type E-302SN</t>
  </si>
  <si>
    <t xml:space="preserve">C-010</t>
  </si>
  <si>
    <t xml:space="preserve">Square ceiling diffuser 350x350 mm</t>
  </si>
  <si>
    <t xml:space="preserve">C-011</t>
  </si>
  <si>
    <t xml:space="preserve">Square ceiling diffuser 500x500 mm</t>
  </si>
  <si>
    <t xml:space="preserve">C-012</t>
  </si>
  <si>
    <t xml:space="preserve">Single-deflection grille 800x300 mm</t>
  </si>
  <si>
    <t xml:space="preserve">C-013</t>
  </si>
  <si>
    <t xml:space="preserve">Galvanized sheet steel ductwork, gauge and leakage class per GB 50243-2016 / SMACNA equivalent</t>
  </si>
  <si>
    <t xml:space="preserve">C-014</t>
  </si>
  <si>
    <t xml:space="preserve">Duct insulation, class B1 flame-retardant elastomeric foam, 20 mm thickness</t>
  </si>
  <si>
    <t xml:space="preserve">M3</t>
  </si>
  <si>
    <t xml:space="preserve">C-015</t>
  </si>
  <si>
    <t xml:space="preserve">Refrigerant pipe, deoxidized phosphorous seamless copper, dia. 9.53 mm, insulated</t>
  </si>
  <si>
    <t xml:space="preserve">C-016</t>
  </si>
  <si>
    <t xml:space="preserve">Refrigerant pipe, deoxidized phosphorous seamless copper, dia. 12.7 mm, insulated</t>
  </si>
  <si>
    <t xml:space="preserve">C-017</t>
  </si>
  <si>
    <t xml:space="preserve">Refrigerant pipe, deoxidized phosphorous seamless copper, dia. 15.9 mm, insulated</t>
  </si>
  <si>
    <t xml:space="preserve">C-018</t>
  </si>
  <si>
    <t xml:space="preserve">Refrigerant pipe, deoxidized phosphorous seamless copper, dia. 19.05 mm, insulated</t>
  </si>
  <si>
    <t xml:space="preserve">C-019</t>
  </si>
  <si>
    <t xml:space="preserve">Refrigerant pipe, deoxidized phosphorous seamless copper, dia. 22.2 mm, insulated</t>
  </si>
  <si>
    <t xml:space="preserve">C-020</t>
  </si>
  <si>
    <t xml:space="preserve">Refrigerant pipe, deoxidized phosphorous seamless copper, dia. 28.6 mm, insulated</t>
  </si>
  <si>
    <t xml:space="preserve">C-021</t>
  </si>
  <si>
    <t xml:space="preserve">Refrigerant pipe, deoxidized phosphorous seamless copper, dia. 34.92 mm, insulated</t>
  </si>
  <si>
    <t xml:space="preserve">C-022</t>
  </si>
  <si>
    <t xml:space="preserve">Condensate drain pipe, UPVC, DN25, graded and supported</t>
  </si>
  <si>
    <t xml:space="preserve">C-023</t>
  </si>
  <si>
    <t xml:space="preserve">Condensate drain pipe, UPVC, DN32, graded and supported</t>
  </si>
  <si>
    <t xml:space="preserve">C-024</t>
  </si>
  <si>
    <t xml:space="preserve">Condensate drain pipe, UPVC, DN40, graded and supported</t>
  </si>
  <si>
    <t xml:space="preserve">C-025</t>
  </si>
  <si>
    <t xml:space="preserve">Piping fittings: elbows, tees, reducers and accessories for the cleanroom AC system</t>
  </si>
  <si>
    <t xml:space="preserve">C-026</t>
  </si>
  <si>
    <t xml:space="preserve">Pipe insulation, class B1 flame-retardant elastomeric foam, 25 mm thickness</t>
  </si>
  <si>
    <t xml:space="preserve">C-027</t>
  </si>
  <si>
    <t xml:space="preserve">Flexible duct connector, canvas type</t>
  </si>
  <si>
    <t xml:space="preserve">C-028</t>
  </si>
  <si>
    <t xml:space="preserve">Refrigerant top-up charge, R-410A</t>
  </si>
  <si>
    <t xml:space="preserve">KG</t>
  </si>
  <si>
    <t xml:space="preserve">C-029</t>
  </si>
  <si>
    <t xml:space="preserve">Fabrication and installation of general steel supports and hangers, including derusting and painting</t>
  </si>
  <si>
    <t xml:space="preserve">C-030</t>
  </si>
  <si>
    <t xml:space="preserve">Return air column enclosure for cleanroom, L1100 x W180 x H3000 mm, in cleanroom panel</t>
  </si>
  <si>
    <t xml:space="preserve">C-031</t>
  </si>
  <si>
    <t xml:space="preserve">Floor and wall chasing, core drilling and firestop sealing for the cleanroom AC system</t>
  </si>
  <si>
    <t xml:space="preserve">C-032</t>
  </si>
  <si>
    <t xml:space="preserve">System testing, commissioning and air balancing of the cleanroom AC system</t>
  </si>
  <si>
    <t xml:space="preserve">C-033</t>
  </si>
  <si>
    <t xml:space="preserve">Direct-expansion air handling unit, indoor section: 2500 m3/h outside air, 300 Pa ESP, 25 kW cooling / 25.8 kW heating, 1.1 kW</t>
  </si>
  <si>
    <t xml:space="preserve">C-034</t>
  </si>
  <si>
    <t xml:space="preserve">Direct-expansion air handling unit, outdoor condensing section: 25.2 kW cooling / 28 kW heating, 5.97 kW, 3ph 60Hz, on outdoor pad</t>
  </si>
  <si>
    <t xml:space="preserve">C-035</t>
  </si>
  <si>
    <t xml:space="preserve">C-036</t>
  </si>
  <si>
    <t xml:space="preserve">Square ceiling diffuser 150x150 mm</t>
  </si>
  <si>
    <t xml:space="preserve">C-037</t>
  </si>
  <si>
    <t xml:space="preserve">Multi-blade volume damper 250x120 mm</t>
  </si>
  <si>
    <t xml:space="preserve">C-038</t>
  </si>
  <si>
    <t xml:space="preserve">Multi-blade volume damper 500x200 mm</t>
  </si>
  <si>
    <t xml:space="preserve">C-039</t>
  </si>
  <si>
    <t xml:space="preserve">Motorized damper 320x400 mm</t>
  </si>
  <si>
    <t xml:space="preserve">C-040</t>
  </si>
  <si>
    <t xml:space="preserve">Motorized opposed-blade control damper 320x400 mm</t>
  </si>
  <si>
    <t xml:space="preserve">C-041</t>
  </si>
  <si>
    <t xml:space="preserve">Opposed-blade control damper 630x250 mm</t>
  </si>
  <si>
    <t xml:space="preserve">C-042</t>
  </si>
  <si>
    <t xml:space="preserve">Galvanized sheet steel ductwork for the outside air system</t>
  </si>
  <si>
    <t xml:space="preserve">C-043</t>
  </si>
  <si>
    <t xml:space="preserve">Duct insulation, class B1 flame-retardant elastomeric foam, 30 mm thickness</t>
  </si>
  <si>
    <t xml:space="preserve">C-044</t>
  </si>
  <si>
    <t xml:space="preserve">Refrigerant pipe, seamless copper, dia. 9.53 mm, insulated</t>
  </si>
  <si>
    <t xml:space="preserve">C-045</t>
  </si>
  <si>
    <t xml:space="preserve">Refrigerant pipe, seamless copper, dia. 19.05 mm, insulated</t>
  </si>
  <si>
    <t xml:space="preserve">C-046</t>
  </si>
  <si>
    <t xml:space="preserve">Condensate drain pipe, UPVC, DN25</t>
  </si>
  <si>
    <t xml:space="preserve">C-047</t>
  </si>
  <si>
    <t xml:space="preserve">Piping fittings for the outside air system</t>
  </si>
  <si>
    <t xml:space="preserve">C-048</t>
  </si>
  <si>
    <t xml:space="preserve">Pipe insulation, class B1 elastomeric foam, 25 mm thickness</t>
  </si>
  <si>
    <t xml:space="preserve">C-049</t>
  </si>
  <si>
    <t xml:space="preserve">C-050</t>
  </si>
  <si>
    <t xml:space="preserve">C-051</t>
  </si>
  <si>
    <t xml:space="preserve">Steel supports and hangers for the outside air system, including derusting and painting</t>
  </si>
  <si>
    <t xml:space="preserve">C-052</t>
  </si>
  <si>
    <t xml:space="preserve">Floor and wall chasing, core drilling and firestop sealing for the outside air system</t>
  </si>
  <si>
    <t xml:space="preserve">C-053</t>
  </si>
  <si>
    <t xml:space="preserve">System testing and commissioning of the cleanroom outside air system</t>
  </si>
  <si>
    <t xml:space="preserve">C-054</t>
  </si>
  <si>
    <t xml:space="preserve">Differential pressure gauge for cleanroom pressure cascade monitoring</t>
  </si>
  <si>
    <t xml:space="preserve">C-055</t>
  </si>
  <si>
    <t xml:space="preserve">Automatic control system for the cleanroom HVAC: controllers, field sensors, wiring, programming and commissioning</t>
  </si>
  <si>
    <t xml:space="preserve">C-056</t>
  </si>
  <si>
    <t xml:space="preserve">Multi-split indoor unit, 4-way ceiling cassette, 2.8 kW cooling / 3.3 kW heating, 20 W, 1ph 220V 60Hz</t>
  </si>
  <si>
    <t xml:space="preserve">C-057</t>
  </si>
  <si>
    <t xml:space="preserve">Multi-split indoor unit, 4-way ceiling cassette, 4.3 kW cooling / 4.9 kW heating, 30 W, 1ph 220V 60Hz</t>
  </si>
  <si>
    <t xml:space="preserve">C-058</t>
  </si>
  <si>
    <t xml:space="preserve">C-059</t>
  </si>
  <si>
    <t xml:space="preserve">Multi-split outdoor unit, 33.5 kW cooling / 37.5 kW heating, 10.69 kW, 3ph 60Hz, on outdoor pad</t>
  </si>
  <si>
    <t xml:space="preserve">C-060</t>
  </si>
  <si>
    <t xml:space="preserve">Wall-mounted thermostat</t>
  </si>
  <si>
    <t xml:space="preserve">C-061</t>
  </si>
  <si>
    <t xml:space="preserve">C-062</t>
  </si>
  <si>
    <t xml:space="preserve">C-063</t>
  </si>
  <si>
    <t xml:space="preserve">Refrigerant pipe, seamless copper, dia. 6.4 mm, insulated</t>
  </si>
  <si>
    <t xml:space="preserve">C-064</t>
  </si>
  <si>
    <t xml:space="preserve">C-065</t>
  </si>
  <si>
    <t xml:space="preserve">Refrigerant pipe, seamless copper, dia. 12.7 mm, insulated</t>
  </si>
  <si>
    <t xml:space="preserve">C-066</t>
  </si>
  <si>
    <t xml:space="preserve">Refrigerant pipe, seamless copper, dia. 15.9 mm, insulated</t>
  </si>
  <si>
    <t xml:space="preserve">C-067</t>
  </si>
  <si>
    <t xml:space="preserve">C-068</t>
  </si>
  <si>
    <t xml:space="preserve">Refrigerant pipe, seamless copper, dia. 28.6 mm, insulated</t>
  </si>
  <si>
    <t xml:space="preserve">C-069</t>
  </si>
  <si>
    <t xml:space="preserve">Condensate drain pipe, UPVC, DN20</t>
  </si>
  <si>
    <t xml:space="preserve">C-070</t>
  </si>
  <si>
    <t xml:space="preserve">C-071</t>
  </si>
  <si>
    <t xml:space="preserve">Condensate drain pipe, UPVC, DN32</t>
  </si>
  <si>
    <t xml:space="preserve">C-072</t>
  </si>
  <si>
    <t xml:space="preserve">Piping fittings for the non-clean multi-split system</t>
  </si>
  <si>
    <t xml:space="preserve">C-073</t>
  </si>
  <si>
    <t xml:space="preserve">C-074</t>
  </si>
  <si>
    <t xml:space="preserve">C-075</t>
  </si>
  <si>
    <t xml:space="preserve">Steel supports and hangers, including derusting and painting</t>
  </si>
  <si>
    <t xml:space="preserve">C-076</t>
  </si>
  <si>
    <t xml:space="preserve">Floor and wall chasing, core drilling and firestop sealing</t>
  </si>
  <si>
    <t xml:space="preserve">C-077</t>
  </si>
  <si>
    <t xml:space="preserve">System testing and commissioning of the non-clean multi-split system</t>
  </si>
  <si>
    <t xml:space="preserve">C-078</t>
  </si>
  <si>
    <t xml:space="preserve">Total heat recovery ventilator, 800 m3/h, 175 Pa ESP, 0.585 kW, 1ph 220V 60Hz, ceiling mounted</t>
  </si>
  <si>
    <t xml:space="preserve">C-079</t>
  </si>
  <si>
    <t xml:space="preserve">C-080</t>
  </si>
  <si>
    <t xml:space="preserve">Square ceiling diffuser 250x250 mm</t>
  </si>
  <si>
    <t xml:space="preserve">C-081</t>
  </si>
  <si>
    <t xml:space="preserve">Square ceiling diffuser 200x200 mm</t>
  </si>
  <si>
    <t xml:space="preserve">C-082</t>
  </si>
  <si>
    <t xml:space="preserve">Single-louver return air grille 150x150 mm</t>
  </si>
  <si>
    <t xml:space="preserve">C-083</t>
  </si>
  <si>
    <t xml:space="preserve">Single-louver return air grille 200x200 mm</t>
  </si>
  <si>
    <t xml:space="preserve">C-084</t>
  </si>
  <si>
    <t xml:space="preserve">Weatherproof intake louver 300x300 mm with insect screen</t>
  </si>
  <si>
    <t xml:space="preserve">C-085</t>
  </si>
  <si>
    <t xml:space="preserve">Single-louver return air grille 800x500 mm</t>
  </si>
  <si>
    <t xml:space="preserve">C-086</t>
  </si>
  <si>
    <t xml:space="preserve">Multi-blade volume damper 160x120 mm</t>
  </si>
  <si>
    <t xml:space="preserve">C-087</t>
  </si>
  <si>
    <t xml:space="preserve">Multi-blade volume damper 200x120 mm</t>
  </si>
  <si>
    <t xml:space="preserve">C-088</t>
  </si>
  <si>
    <t xml:space="preserve">C-089</t>
  </si>
  <si>
    <t xml:space="preserve">Multi-blade volume damper 250x160 mm</t>
  </si>
  <si>
    <t xml:space="preserve">C-090</t>
  </si>
  <si>
    <t xml:space="preserve">Motorized damper 350x250 mm</t>
  </si>
  <si>
    <t xml:space="preserve">C-091</t>
  </si>
  <si>
    <t xml:space="preserve">Motorized opposed-blade control damper 350x250 mm</t>
  </si>
  <si>
    <t xml:space="preserve">C-092</t>
  </si>
  <si>
    <t xml:space="preserve">Galvanized sheet steel ductwork for the non-clean outside air system</t>
  </si>
  <si>
    <t xml:space="preserve">C-093</t>
  </si>
  <si>
    <t xml:space="preserve">Duct insulation, class B1 elastomeric foam, 30 mm thickness</t>
  </si>
  <si>
    <t xml:space="preserve">C-094</t>
  </si>
  <si>
    <t xml:space="preserve">C-095</t>
  </si>
  <si>
    <t xml:space="preserve">C-096</t>
  </si>
  <si>
    <t xml:space="preserve">C-097</t>
  </si>
  <si>
    <t xml:space="preserve">System testing and commissioning of the non-clean outside air system</t>
  </si>
  <si>
    <t xml:space="preserve">C-098</t>
  </si>
  <si>
    <t xml:space="preserve">Inline centrifugal duct fan, 1600 m3/h, 160 Pa, 900 rpm, 0.18 kW, 3ph 60Hz</t>
  </si>
  <si>
    <t xml:space="preserve">C-099</t>
  </si>
  <si>
    <t xml:space="preserve">Cabinet centrifugal fan, 2000 m3/h, 540 Pa, 1600 rpm, 1.1 kW, 3ph 60Hz</t>
  </si>
  <si>
    <t xml:space="preserve">C-100</t>
  </si>
  <si>
    <t xml:space="preserve">Restroom exhaust fan, 210 m3/h, 190 Pa, 32 W, 1ph 220V 60Hz</t>
  </si>
  <si>
    <t xml:space="preserve">C-101</t>
  </si>
  <si>
    <t xml:space="preserve">Activated carbon filtration unit for process exhaust, 2000 m3/h, 90% adsorption efficiency</t>
  </si>
  <si>
    <t xml:space="preserve">C-102</t>
  </si>
  <si>
    <t xml:space="preserve">Opposed-blade control damper 400x250 mm</t>
  </si>
  <si>
    <t xml:space="preserve">C-103</t>
  </si>
  <si>
    <t xml:space="preserve">Weatherproof exhaust louver 500x400 mm</t>
  </si>
  <si>
    <t xml:space="preserve">C-104</t>
  </si>
  <si>
    <t xml:space="preserve">Weather cap, dia. 400 mm</t>
  </si>
  <si>
    <t xml:space="preserve">C-105</t>
  </si>
  <si>
    <t xml:space="preserve">Galvanized sheet steel ductwork for the exhaust systems</t>
  </si>
  <si>
    <t xml:space="preserve">C-106</t>
  </si>
  <si>
    <t xml:space="preserve">C-107</t>
  </si>
  <si>
    <t xml:space="preserve">C-108</t>
  </si>
  <si>
    <t xml:space="preserve">Auxiliary materials for the ventilation systems</t>
  </si>
  <si>
    <t xml:space="preserve">C-109</t>
  </si>
  <si>
    <t xml:space="preserve">C-110</t>
  </si>
  <si>
    <t xml:space="preserve">System testing and commissioning of the ventilation systems</t>
  </si>
  <si>
    <t xml:space="preserve">C-111</t>
  </si>
  <si>
    <t xml:space="preserve">Removal and disposal of existing HVAC ductwork, piping and equipment</t>
  </si>
  <si>
    <t xml:space="preserve">C TOTAL</t>
  </si>
  <si>
    <t xml:space="preserve">SUBTOTAL SECTION C  —  03 HVAC AND CLEANROOM AIR SYSTEMS     </t>
  </si>
  <si>
    <t xml:space="preserve">SECTION D  —  04 ELECTRICAL INSTALLATIONS</t>
  </si>
  <si>
    <t xml:space="preserve">D-001</t>
  </si>
  <si>
    <t xml:space="preserve">Indoor dry-type transformer, 200 kVA, primary 3ph 480V 60Hz / secondary 380V 60Hz, aluminum windings, including pad and connections</t>
  </si>
  <si>
    <t xml:space="preserve">D-002</t>
  </si>
  <si>
    <t xml:space="preserve">Modification and re-termination of existing distribution boards affected by the new layout</t>
  </si>
  <si>
    <t xml:space="preserve">D-003</t>
  </si>
  <si>
    <t xml:space="preserve">Distribution board 1APZ per single-line diagram, ceiling-void mounted, including breakers and terminations</t>
  </si>
  <si>
    <t xml:space="preserve">D-004</t>
  </si>
  <si>
    <t xml:space="preserve">Distribution board 1AL1 per single-line diagram, surface wall mounted</t>
  </si>
  <si>
    <t xml:space="preserve">D-005</t>
  </si>
  <si>
    <t xml:space="preserve">Distribution board 1AP-KT per single-line diagram, surface wall mounted</t>
  </si>
  <si>
    <t xml:space="preserve">D-006</t>
  </si>
  <si>
    <t xml:space="preserve">Distribution board 2AC-KT1 per single-line diagram, surface wall mounted</t>
  </si>
  <si>
    <t xml:space="preserve">D-007</t>
  </si>
  <si>
    <t xml:space="preserve">Distribution board 2AC-KT2 per single-line diagram, surface wall mounted</t>
  </si>
  <si>
    <t xml:space="preserve">D-008</t>
  </si>
  <si>
    <t xml:space="preserve">Distribution board 1AC-PW1 per single-line diagram, surface wall mounted</t>
  </si>
  <si>
    <t xml:space="preserve">D-009</t>
  </si>
  <si>
    <t xml:space="preserve">Distribution board 1AC-PW2 per single-line diagram, surface wall mounted</t>
  </si>
  <si>
    <t xml:space="preserve">D-010</t>
  </si>
  <si>
    <t xml:space="preserve">Distribution board 1ALED per single-line diagram, surface wall mounted</t>
  </si>
  <si>
    <t xml:space="preserve">D-011</t>
  </si>
  <si>
    <t xml:space="preserve">Ladder-type cable tray, 400x100x1.5 mm, hot-dip galvanized, with bonding jumpers</t>
  </si>
  <si>
    <t xml:space="preserve">D-012</t>
  </si>
  <si>
    <t xml:space="preserve">Solid-bottom cable tray, 200x100x1.2 mm, hot-dip galvanized, with bonding jumpers</t>
  </si>
  <si>
    <t xml:space="preserve">D-013</t>
  </si>
  <si>
    <t xml:space="preserve">Ladder-type cable tray, 100x50x1.0 mm, hot-dip galvanized, with bonding jumpers</t>
  </si>
  <si>
    <t xml:space="preserve">D-014</t>
  </si>
  <si>
    <t xml:space="preserve">Set-screw steel conduit JDG20 (EMT 3/4" equivalent), concealed in ceiling void</t>
  </si>
  <si>
    <t xml:space="preserve">D-015</t>
  </si>
  <si>
    <t xml:space="preserve">Galvanized steel conduit SC15 (RMC 1/2" equivalent), concealed in ceiling void</t>
  </si>
  <si>
    <t xml:space="preserve">D-016</t>
  </si>
  <si>
    <t xml:space="preserve">Galvanized steel conduit SC20 (RMC 3/4" equivalent), concealed in ceiling void</t>
  </si>
  <si>
    <t xml:space="preserve">D-017</t>
  </si>
  <si>
    <t xml:space="preserve">Galvanized steel conduit SC25 (RMC 1" equivalent), concealed in ceiling void</t>
  </si>
  <si>
    <t xml:space="preserve">D-018</t>
  </si>
  <si>
    <t xml:space="preserve">Galvanized steel conduit SC32 (RMC 1-1/4" equivalent), concealed in ceiling void</t>
  </si>
  <si>
    <t xml:space="preserve">D-019</t>
  </si>
  <si>
    <t xml:space="preserve">Galvanized steel conduit SC50 (RMC 2" equivalent), concealed in ceiling void</t>
  </si>
  <si>
    <t xml:space="preserve">D-020</t>
  </si>
  <si>
    <t xml:space="preserve">Galvanized steel conduit SC100 (RMC 4" equivalent)</t>
  </si>
  <si>
    <t xml:space="preserve">D-021</t>
  </si>
  <si>
    <t xml:space="preserve">Copper power cable, low-smoke halogen-free XLPE, 4x150+1x70 mm2 - transformer incoming feeder</t>
  </si>
  <si>
    <t xml:space="preserve">D-022</t>
  </si>
  <si>
    <t xml:space="preserve">Copper power cable, low-smoke halogen-free XLPE, 4x120+1x70 mm2</t>
  </si>
  <si>
    <t xml:space="preserve">D-023</t>
  </si>
  <si>
    <t xml:space="preserve">Copper power cable, low-smoke halogen-free XLPE, 4x70+1x35 mm2</t>
  </si>
  <si>
    <t xml:space="preserve">D-024</t>
  </si>
  <si>
    <t xml:space="preserve">Copper power cable, low-smoke halogen-free XLPE, 4x50+1x25 mm2</t>
  </si>
  <si>
    <t xml:space="preserve">D-025</t>
  </si>
  <si>
    <t xml:space="preserve">Copper power cable, low-smoke halogen-free XLPE, 5x16 mm2</t>
  </si>
  <si>
    <t xml:space="preserve">D-026</t>
  </si>
  <si>
    <t xml:space="preserve">Copper power cable, low-smoke halogen-free XLPE, 3x16 mm2</t>
  </si>
  <si>
    <t xml:space="preserve">D-027</t>
  </si>
  <si>
    <t xml:space="preserve">Copper power cable, low-smoke halogen-free XLPE, 5x10 mm2</t>
  </si>
  <si>
    <t xml:space="preserve">D-028</t>
  </si>
  <si>
    <t xml:space="preserve">Copper power cable, low-smoke halogen-free XLPE, 5x6 mm2</t>
  </si>
  <si>
    <t xml:space="preserve">D-029</t>
  </si>
  <si>
    <t xml:space="preserve">Copper power cable, low-smoke halogen-free XLPE, 5x4 mm2</t>
  </si>
  <si>
    <t xml:space="preserve">D-030</t>
  </si>
  <si>
    <t xml:space="preserve">Copper power cable, low-smoke halogen-free XLPE, 3x4 mm2</t>
  </si>
  <si>
    <t xml:space="preserve">D-031</t>
  </si>
  <si>
    <t xml:space="preserve">Indoor dry-type cable termination, 3-core and above, cross-section up to 240 mm2, below 1 kV</t>
  </si>
  <si>
    <t xml:space="preserve">D-032</t>
  </si>
  <si>
    <t xml:space="preserve">Indoor dry-type cable termination, 3-core and above, cross-section up to 120 mm2, below 1 kV</t>
  </si>
  <si>
    <t xml:space="preserve">D-033</t>
  </si>
  <si>
    <t xml:space="preserve">Indoor dry-type cable termination, 3-core and above, cross-section up to 35 mm2, below 1 kV</t>
  </si>
  <si>
    <t xml:space="preserve">D-034</t>
  </si>
  <si>
    <t xml:space="preserve">Conductor pulled in conduit or tray, halogen-free 2.5 mm2 (fire-rated circuits)</t>
  </si>
  <si>
    <t xml:space="preserve">D-035</t>
  </si>
  <si>
    <t xml:space="preserve">Conductor pulled in conduit or tray, halogen-free 4 mm2</t>
  </si>
  <si>
    <t xml:space="preserve">D-036</t>
  </si>
  <si>
    <t xml:space="preserve">Conductor pulled in conduit or tray, halogen-free 2.5 mm2</t>
  </si>
  <si>
    <t xml:space="preserve">D-037</t>
  </si>
  <si>
    <t xml:space="preserve">Conductor pulled in conduit or tray, halogen-free 1.5 mm2</t>
  </si>
  <si>
    <t xml:space="preserve">D-038</t>
  </si>
  <si>
    <t xml:space="preserve">Shielded control cable in conduit or tray, 2x2.5 mm2</t>
  </si>
  <si>
    <t xml:space="preserve">D-039</t>
  </si>
  <si>
    <t xml:space="preserve">Shielded control cable in conduit or tray, 2x1.5 mm2</t>
  </si>
  <si>
    <t xml:space="preserve">D-040</t>
  </si>
  <si>
    <t xml:space="preserve">LED flat panel luminaire, T5-LED 3x18W equivalent, surface ceiling mounted</t>
  </si>
  <si>
    <t xml:space="preserve">D-041</t>
  </si>
  <si>
    <t xml:space="preserve">LED flat panel luminaire 600x600 mm, recessed</t>
  </si>
  <si>
    <t xml:space="preserve">D-042</t>
  </si>
  <si>
    <t xml:space="preserve">LED flat panel luminaire 300x300 mm, recessed</t>
  </si>
  <si>
    <t xml:space="preserve">D-043</t>
  </si>
  <si>
    <t xml:space="preserve">Emergency ceiling luminaire, DC36V 6W LED, surface mounted</t>
  </si>
  <si>
    <t xml:space="preserve">D-044</t>
  </si>
  <si>
    <t xml:space="preserve">Single-face directional sign luminaire (right), DC36V 1W LED, wall mounted</t>
  </si>
  <si>
    <t xml:space="preserve">D-045</t>
  </si>
  <si>
    <t xml:space="preserve">Single-face directional sign luminaire (left), DC36V 1W LED, wall mounted</t>
  </si>
  <si>
    <t xml:space="preserve">D-046</t>
  </si>
  <si>
    <t xml:space="preserve">Safety exit sign luminaire type S, DC36V 1W LED, wall mounted</t>
  </si>
  <si>
    <t xml:space="preserve">D-047</t>
  </si>
  <si>
    <t xml:space="preserve">Exit sign luminaire type E, DC36V 1W LED, wall mounted</t>
  </si>
  <si>
    <t xml:space="preserve">D-048</t>
  </si>
  <si>
    <t xml:space="preserve">Single-gang single-pole switch, 250V 10A, flush mounted</t>
  </si>
  <si>
    <t xml:space="preserve">D-049</t>
  </si>
  <si>
    <t xml:space="preserve">Two-gang single-pole switch, 250V 10A, flush mounted</t>
  </si>
  <si>
    <t xml:space="preserve">D-050</t>
  </si>
  <si>
    <t xml:space="preserve">Single-phase safety receptacle, 2-pin + 3-pin, 250V 10A, flush mounted</t>
  </si>
  <si>
    <t xml:space="preserve">D-051</t>
  </si>
  <si>
    <t xml:space="preserve">Single-phase safety receptacle with weatherproof cover, 250V 10A, flush mounted</t>
  </si>
  <si>
    <t xml:space="preserve">D-052</t>
  </si>
  <si>
    <t xml:space="preserve">Steel junction box, type 86, surface mounted</t>
  </si>
  <si>
    <t xml:space="preserve">D-053</t>
  </si>
  <si>
    <t xml:space="preserve">Supplementary equipotential bonding box SEB, 260x150x120 mm, surface mounted</t>
  </si>
  <si>
    <t xml:space="preserve">D-054</t>
  </si>
  <si>
    <t xml:space="preserve">Galvanized flat steel earthing conductor, 25x4 mm, concealed</t>
  </si>
  <si>
    <t xml:space="preserve">D-055</t>
  </si>
  <si>
    <t xml:space="preserve">Earthing conductor, 4 mm2, pulled in conduit</t>
  </si>
  <si>
    <t xml:space="preserve">D-056</t>
  </si>
  <si>
    <t xml:space="preserve">Conduit for earthing conductor, PC16, concealed</t>
  </si>
  <si>
    <t xml:space="preserve">D-057</t>
  </si>
  <si>
    <t xml:space="preserve">Floor and wall chasing, core drilling and firestop sealing for electrical works</t>
  </si>
  <si>
    <t xml:space="preserve">D-058</t>
  </si>
  <si>
    <t xml:space="preserve">Fabrication and installation of supports and hangers for cable tray and conduit</t>
  </si>
  <si>
    <t xml:space="preserve">D-059</t>
  </si>
  <si>
    <t xml:space="preserve">Auxiliary materials for electrical works (connectors, lugs, tape, labels, consumables)</t>
  </si>
  <si>
    <t xml:space="preserve">D-060</t>
  </si>
  <si>
    <t xml:space="preserve">Derusting and painting of steel supports: two coats red-lead primer, two coats grey enamel</t>
  </si>
  <si>
    <t xml:space="preserve">D-061</t>
  </si>
  <si>
    <t xml:space="preserve">Earthing system commissioning: resistance measurement and certification to design requirement</t>
  </si>
  <si>
    <t xml:space="preserve">D-062</t>
  </si>
  <si>
    <t xml:space="preserve">Power distribution system commissioning, AC below 1 kV (comprehensive)</t>
  </si>
  <si>
    <t xml:space="preserve">D-063</t>
  </si>
  <si>
    <t xml:space="preserve">Removal and disposal of existing electrical conduit, wiring and equipment</t>
  </si>
  <si>
    <t xml:space="preserve">D TOTAL</t>
  </si>
  <si>
    <t xml:space="preserve">SUBTOTAL SECTION D  —  04 ELECTRICAL INSTALLATIONS     </t>
  </si>
  <si>
    <t xml:space="preserve">SECTION E  —  05 PLUMBING, WATER SUPPLY AND DRAINAGE</t>
  </si>
  <si>
    <t xml:space="preserve">E-001</t>
  </si>
  <si>
    <t xml:space="preserve">Floor-mounted water closet, complete with seat, supply and fixing set</t>
  </si>
  <si>
    <t xml:space="preserve">E-002</t>
  </si>
  <si>
    <t xml:space="preserve">Wall-hung urinal with sensor flush valve</t>
  </si>
  <si>
    <t xml:space="preserve">E-003</t>
  </si>
  <si>
    <t xml:space="preserve">Undermount lavatory with hot and cold mixer faucet</t>
  </si>
  <si>
    <t xml:space="preserve">E-004</t>
  </si>
  <si>
    <t xml:space="preserve">Mop sink with wall-mounted faucet</t>
  </si>
  <si>
    <t xml:space="preserve">E-005</t>
  </si>
  <si>
    <t xml:space="preserve">PP-R potable water pipe, De40, concealed in ceiling void</t>
  </si>
  <si>
    <t xml:space="preserve">E-006</t>
  </si>
  <si>
    <t xml:space="preserve">PP-R potable water pipe, De32, concealed in ceiling void</t>
  </si>
  <si>
    <t xml:space="preserve">E-007</t>
  </si>
  <si>
    <t xml:space="preserve">PP-R potable water pipe, De25, concealed in ceiling void</t>
  </si>
  <si>
    <t xml:space="preserve">E-008</t>
  </si>
  <si>
    <t xml:space="preserve">PP-R potable water pipe, De20, concealed in ceiling void</t>
  </si>
  <si>
    <t xml:space="preserve">E-009</t>
  </si>
  <si>
    <t xml:space="preserve">PP-R potable water pipe, De20, chased in wall</t>
  </si>
  <si>
    <t xml:space="preserve">E-010</t>
  </si>
  <si>
    <t xml:space="preserve">Internally epoxy-coated galvanized steel pipe, De110, for sanitary main</t>
  </si>
  <si>
    <t xml:space="preserve">E-011</t>
  </si>
  <si>
    <t xml:space="preserve">PVC drainage pipe, De110</t>
  </si>
  <si>
    <t xml:space="preserve">E-012</t>
  </si>
  <si>
    <t xml:space="preserve">PVC drainage pipe, De75</t>
  </si>
  <si>
    <t xml:space="preserve">E-013</t>
  </si>
  <si>
    <t xml:space="preserve">PVC drainage pipe, De50</t>
  </si>
  <si>
    <t xml:space="preserve">E-014</t>
  </si>
  <si>
    <t xml:space="preserve">Piping fittings: elbows, tees, reducers and accessories for plumbing works</t>
  </si>
  <si>
    <t xml:space="preserve">E-015</t>
  </si>
  <si>
    <t xml:space="preserve">Brass gate valve, DN32</t>
  </si>
  <si>
    <t xml:space="preserve">E-016</t>
  </si>
  <si>
    <t xml:space="preserve">Brass gate valve, DN25</t>
  </si>
  <si>
    <t xml:space="preserve">E-017</t>
  </si>
  <si>
    <t xml:space="preserve">Gate valve, DN100</t>
  </si>
  <si>
    <t xml:space="preserve">E-018</t>
  </si>
  <si>
    <t xml:space="preserve">Gate valve, DN50</t>
  </si>
  <si>
    <t xml:space="preserve">E-019</t>
  </si>
  <si>
    <t xml:space="preserve">Check valve, DN100</t>
  </si>
  <si>
    <t xml:space="preserve">E-020</t>
  </si>
  <si>
    <t xml:space="preserve">Check valve, DN50</t>
  </si>
  <si>
    <t xml:space="preserve">E-021</t>
  </si>
  <si>
    <t xml:space="preserve">Rubber flexible joint, DN100</t>
  </si>
  <si>
    <t xml:space="preserve">E-022</t>
  </si>
  <si>
    <t xml:space="preserve">Rubber flexible joint, DN50</t>
  </si>
  <si>
    <t xml:space="preserve">E-023</t>
  </si>
  <si>
    <t xml:space="preserve">Pressure gauge with isolating cock</t>
  </si>
  <si>
    <t xml:space="preserve">E-024</t>
  </si>
  <si>
    <t xml:space="preserve">Vacuum breaker, De20</t>
  </si>
  <si>
    <t xml:space="preserve">E-025</t>
  </si>
  <si>
    <t xml:space="preserve">Stainless steel floor drain, DN50, with trap</t>
  </si>
  <si>
    <t xml:space="preserve">E-026</t>
  </si>
  <si>
    <t xml:space="preserve">Cleanout, De110</t>
  </si>
  <si>
    <t xml:space="preserve">E-027</t>
  </si>
  <si>
    <t xml:space="preserve">E-028</t>
  </si>
  <si>
    <t xml:space="preserve">Wall chasing and making good for concealed piping</t>
  </si>
  <si>
    <t xml:space="preserve">E-029</t>
  </si>
  <si>
    <t xml:space="preserve">Excavation, backfill and slab restoration for buried piping</t>
  </si>
  <si>
    <t xml:space="preserve">E-030</t>
  </si>
  <si>
    <t xml:space="preserve">Packaged sewage lifting station: 2 pumps, each Q=10 m3/h, H=20 m, 2.2 kW, 3ph 380V 60Hz, with control panel</t>
  </si>
  <si>
    <t xml:space="preserve">E-031</t>
  </si>
  <si>
    <t xml:space="preserve">Sewage pump, Q=3.6 m3/h, H=20 mH2O, 0.55 kW, 3ph 380V 60Hz, with control panel</t>
  </si>
  <si>
    <t xml:space="preserve">E-032</t>
  </si>
  <si>
    <t xml:space="preserve">Floor and wall chasing, core drilling and firestop sealing for plumbing works</t>
  </si>
  <si>
    <t xml:space="preserve">E-033</t>
  </si>
  <si>
    <t xml:space="preserve">Auxiliary materials for plumbing works (sealants, hangers, gaskets, consumables)</t>
  </si>
  <si>
    <t xml:space="preserve">E-034</t>
  </si>
  <si>
    <t xml:space="preserve">Commissioning: pressure test, leak test and system flushing</t>
  </si>
  <si>
    <t xml:space="preserve">E-035</t>
  </si>
  <si>
    <t xml:space="preserve">Removal and disposal of existing plumbing pipework and equipment</t>
  </si>
  <si>
    <t xml:space="preserve">E TOTAL</t>
  </si>
  <si>
    <t xml:space="preserve">SUBTOTAL SECTION E  —  05 PLUMBING, WATER SUPPLY AND DRAINAGE     </t>
  </si>
  <si>
    <t xml:space="preserve">SECTION F  —  06 FIRE PROTECTION AND FIRE ALARM</t>
  </si>
  <si>
    <t xml:space="preserve">F-001</t>
  </si>
  <si>
    <t xml:space="preserve">Hot-dip galvanized steel pipe, DN100, grooved coupling system</t>
  </si>
  <si>
    <t xml:space="preserve">F-002</t>
  </si>
  <si>
    <t xml:space="preserve">Hot-dip galvanized steel pipe, DN65, grooved coupling system</t>
  </si>
  <si>
    <t xml:space="preserve">F-003</t>
  </si>
  <si>
    <t xml:space="preserve">Piping fittings: couplings, elbows, tees and accessories for the hydrant system</t>
  </si>
  <si>
    <t xml:space="preserve">F-004</t>
  </si>
  <si>
    <t xml:space="preserve">Indoor fire hydrant cabinet with SN65 valve, 19 mm nozzle, 25 m rubber-lined hose and DN65 gate valve</t>
  </si>
  <si>
    <t xml:space="preserve">F-005</t>
  </si>
  <si>
    <t xml:space="preserve">Fire extinguisher cabinet complete with two MT7 extinguishers</t>
  </si>
  <si>
    <t xml:space="preserve">F-006</t>
  </si>
  <si>
    <t xml:space="preserve">Butterfly valve, DN100, grooved flange connection</t>
  </si>
  <si>
    <t xml:space="preserve">F-007</t>
  </si>
  <si>
    <t xml:space="preserve">Butterfly valve, DN65, grooved flange connection</t>
  </si>
  <si>
    <t xml:space="preserve">F-008</t>
  </si>
  <si>
    <t xml:space="preserve">Wall penetrations and making good for the hydrant system</t>
  </si>
  <si>
    <t xml:space="preserve">F-009</t>
  </si>
  <si>
    <t xml:space="preserve">Fabrication and installation of steel supports and hangers, including derusting and painting</t>
  </si>
  <si>
    <t xml:space="preserve">F-010</t>
  </si>
  <si>
    <t xml:space="preserve">F-011</t>
  </si>
  <si>
    <t xml:space="preserve">Commissioning: pressure test, leak test and flushing of the hydrant system</t>
  </si>
  <si>
    <t xml:space="preserve">F-012</t>
  </si>
  <si>
    <t xml:space="preserve">Hot-dip galvanized steel pipe, DN150, grooved coupling system</t>
  </si>
  <si>
    <t xml:space="preserve">F-013</t>
  </si>
  <si>
    <t xml:space="preserve">F-014</t>
  </si>
  <si>
    <t xml:space="preserve">Hot-dip galvanized steel pipe, DN80, grooved coupling system</t>
  </si>
  <si>
    <t xml:space="preserve">F-015</t>
  </si>
  <si>
    <t xml:space="preserve">F-016</t>
  </si>
  <si>
    <t xml:space="preserve">Hot-dip galvanized steel pipe, DN50, threaded system</t>
  </si>
  <si>
    <t xml:space="preserve">F-017</t>
  </si>
  <si>
    <t xml:space="preserve">Hot-dip galvanized steel pipe, DN40, threaded system</t>
  </si>
  <si>
    <t xml:space="preserve">F-018</t>
  </si>
  <si>
    <t xml:space="preserve">Hot-dip galvanized steel pipe, DN32, threaded system</t>
  </si>
  <si>
    <t xml:space="preserve">F-019</t>
  </si>
  <si>
    <t xml:space="preserve">Hot-dip galvanized steel pipe, DN25, threaded system</t>
  </si>
  <si>
    <t xml:space="preserve">F-020</t>
  </si>
  <si>
    <t xml:space="preserve">Piping fittings: couplings, elbows, tees and accessories for the sprinkler system</t>
  </si>
  <si>
    <t xml:space="preserve">F-021</t>
  </si>
  <si>
    <t xml:space="preserve">Pendent sprinkler head, K=80 (K5.6 equivalent), with escutcheon</t>
  </si>
  <si>
    <t xml:space="preserve">F-022</t>
  </si>
  <si>
    <t xml:space="preserve">Signal butterfly valve with tamper switch, DN150</t>
  </si>
  <si>
    <t xml:space="preserve">F-023</t>
  </si>
  <si>
    <t xml:space="preserve">Water flow indicator switch, DN150</t>
  </si>
  <si>
    <t xml:space="preserve">F-024</t>
  </si>
  <si>
    <t xml:space="preserve">Automatic air release valve, DN25</t>
  </si>
  <si>
    <t xml:space="preserve">F-025</t>
  </si>
  <si>
    <t xml:space="preserve">Inspector's test and drain valve, DN25</t>
  </si>
  <si>
    <t xml:space="preserve">F-026</t>
  </si>
  <si>
    <t xml:space="preserve">Wall penetrations and making good for the sprinkler system</t>
  </si>
  <si>
    <t xml:space="preserve">F-027</t>
  </si>
  <si>
    <t xml:space="preserve">Fabrication and installation of steel supports, hangers and seismic bracing, including derusting and painting</t>
  </si>
  <si>
    <t xml:space="preserve">F-028</t>
  </si>
  <si>
    <t xml:space="preserve">F-029</t>
  </si>
  <si>
    <t xml:space="preserve">Commissioning: hydrostatic test, leak test and flushing of the sprinkler system</t>
  </si>
  <si>
    <t xml:space="preserve">F-030</t>
  </si>
  <si>
    <t xml:space="preserve">Fire alarm annunciator and control panel, floor standing</t>
  </si>
  <si>
    <t xml:space="preserve">F-031</t>
  </si>
  <si>
    <t xml:space="preserve">Bus short-circuit isolator, ceiling mounted</t>
  </si>
  <si>
    <t xml:space="preserve">F-032</t>
  </si>
  <si>
    <t xml:space="preserve">Addressable point-type photoelectric smoke detector, ceiling mounted</t>
  </si>
  <si>
    <t xml:space="preserve">F-033</t>
  </si>
  <si>
    <t xml:space="preserve">Fire alarm speaker, 3 W, ceiling mounted</t>
  </si>
  <si>
    <t xml:space="preserve">F-034</t>
  </si>
  <si>
    <t xml:space="preserve">Fire telephone jack, flush mounted</t>
  </si>
  <si>
    <t xml:space="preserve">F-035</t>
  </si>
  <si>
    <t xml:space="preserve">Audible and visual alarm device, flush mounted</t>
  </si>
  <si>
    <t xml:space="preserve">F-036</t>
  </si>
  <si>
    <t xml:space="preserve">Manual call point / pull station, flush mounted</t>
  </si>
  <si>
    <t xml:space="preserve">F-037</t>
  </si>
  <si>
    <t xml:space="preserve">Fire hydrant call button, mounted inside hydrant cabinet</t>
  </si>
  <si>
    <t xml:space="preserve">F-038</t>
  </si>
  <si>
    <t xml:space="preserve">Addressable input/output module, in module enclosure</t>
  </si>
  <si>
    <t xml:space="preserve">F-039</t>
  </si>
  <si>
    <t xml:space="preserve">Addressable output module, in module enclosure</t>
  </si>
  <si>
    <t xml:space="preserve">F-040</t>
  </si>
  <si>
    <t xml:space="preserve">Addressable input module, in module enclosure</t>
  </si>
  <si>
    <t xml:space="preserve">F-041</t>
  </si>
  <si>
    <t xml:space="preserve">Fire-resistant cable in conduit or tray, 2x1.5 mm2</t>
  </si>
  <si>
    <t xml:space="preserve">F-042</t>
  </si>
  <si>
    <t xml:space="preserve">Halogen-free conductor in conduit or tray, 2.5 mm2</t>
  </si>
  <si>
    <t xml:space="preserve">F-043</t>
  </si>
  <si>
    <t xml:space="preserve">Galvanized steel conduit SC20, concealed in ceiling void</t>
  </si>
  <si>
    <t xml:space="preserve">F-044</t>
  </si>
  <si>
    <t xml:space="preserve">Galvanized steel conduit SC25, concealed in ceiling void</t>
  </si>
  <si>
    <t xml:space="preserve">F-045</t>
  </si>
  <si>
    <t xml:space="preserve">F-046</t>
  </si>
  <si>
    <t xml:space="preserve">Floor and wall chasing, core drilling and firestop sealing for fire alarm works</t>
  </si>
  <si>
    <t xml:space="preserve">F-047</t>
  </si>
  <si>
    <t xml:space="preserve">Fabrication and installation of supports and hangers for tray and conduit</t>
  </si>
  <si>
    <t xml:space="preserve">F-048</t>
  </si>
  <si>
    <t xml:space="preserve">Derusting and painting of steel supports: two coats primer, two coats enamel</t>
  </si>
  <si>
    <t xml:space="preserve">F-049</t>
  </si>
  <si>
    <t xml:space="preserve">Fire alarm system programming, point-to-point verification and commissioning</t>
  </si>
  <si>
    <t xml:space="preserve">F-050</t>
  </si>
  <si>
    <t xml:space="preserve">Auxiliary materials for fire alarm works (connectors, labels, terminations, consumables)</t>
  </si>
  <si>
    <t xml:space="preserve">F-051</t>
  </si>
  <si>
    <t xml:space="preserve">Removal and disposal of existing fire protection pipework and devices</t>
  </si>
  <si>
    <t xml:space="preserve">F TOTAL</t>
  </si>
  <si>
    <t xml:space="preserve">SUBTOTAL SECTION F  —  06 FIRE PROTECTION AND FIRE ALARM     </t>
  </si>
  <si>
    <t xml:space="preserve">SECTION G  —  07 IT, CCTV AND ACCESS CONTROL</t>
  </si>
  <si>
    <t xml:space="preserve">G-001</t>
  </si>
  <si>
    <t xml:space="preserve">Indoor IR network bullet camera, 4 MP or higher, WDR, audio input, DC12V and PoE, with mounting bracket</t>
  </si>
  <si>
    <t xml:space="preserve">G-002</t>
  </si>
  <si>
    <t xml:space="preserve">Solid-bottom cable tray, 200x100 mm, for low-voltage systems</t>
  </si>
  <si>
    <t xml:space="preserve">G-003</t>
  </si>
  <si>
    <t xml:space="preserve">Category 6 network cable, CAT.6</t>
  </si>
  <si>
    <t xml:space="preserve">G-004</t>
  </si>
  <si>
    <t xml:space="preserve">Set-screw steel conduit JDG25 (EMT 1" equivalent)</t>
  </si>
  <si>
    <t xml:space="preserve">G-005</t>
  </si>
  <si>
    <t xml:space="preserve">Junction box, type 86</t>
  </si>
  <si>
    <t xml:space="preserve">G-006</t>
  </si>
  <si>
    <t xml:space="preserve">Wall penetrations and firestop sealing for CCTV works</t>
  </si>
  <si>
    <t xml:space="preserve">G-007</t>
  </si>
  <si>
    <t xml:space="preserve">G-008</t>
  </si>
  <si>
    <t xml:space="preserve">CCTV configuration, integration with existing NVR/server and commissioning</t>
  </si>
  <si>
    <t xml:space="preserve">G-009</t>
  </si>
  <si>
    <t xml:space="preserve">Face recognition access control terminal</t>
  </si>
  <si>
    <t xml:space="preserve">G-010</t>
  </si>
  <si>
    <t xml:space="preserve">Switching power supply for access control door</t>
  </si>
  <si>
    <t xml:space="preserve">G-011</t>
  </si>
  <si>
    <t xml:space="preserve">Single-door magnetic lock, including mounting bracket</t>
  </si>
  <si>
    <t xml:space="preserve">G-012</t>
  </si>
  <si>
    <t xml:space="preserve">Double-door magnetic lock, including mounting bracket</t>
  </si>
  <si>
    <t xml:space="preserve">G-013</t>
  </si>
  <si>
    <t xml:space="preserve">Request-to-exit button</t>
  </si>
  <si>
    <t xml:space="preserve">G-014</t>
  </si>
  <si>
    <t xml:space="preserve">Shielded power cable, RVVP 6x1.0 mm2</t>
  </si>
  <si>
    <t xml:space="preserve">G-015</t>
  </si>
  <si>
    <t xml:space="preserve">Power cable, RVV 4x1.0 mm2</t>
  </si>
  <si>
    <t xml:space="preserve">G-016</t>
  </si>
  <si>
    <t xml:space="preserve">Power cable, RVV 2x1.0 mm2</t>
  </si>
  <si>
    <t xml:space="preserve">G-017</t>
  </si>
  <si>
    <t xml:space="preserve">Set-screw steel conduit JDG20 (EMT 3/4" equivalent)</t>
  </si>
  <si>
    <t xml:space="preserve">G-018</t>
  </si>
  <si>
    <t xml:space="preserve">G-019</t>
  </si>
  <si>
    <t xml:space="preserve">Auxiliary materials for access control works</t>
  </si>
  <si>
    <t xml:space="preserve">G-020</t>
  </si>
  <si>
    <t xml:space="preserve">Access control configuration, integration with existing server and card issuer, and commissioning</t>
  </si>
  <si>
    <t xml:space="preserve">G TOTAL</t>
  </si>
  <si>
    <t xml:space="preserve">SUBTOTAL SECTION G  —  07 IT, CCTV AND ACCESS CONTROL     </t>
  </si>
  <si>
    <t xml:space="preserve">SECTION H  —  08 COMPRESSED AIR DISTRIBUTION</t>
  </si>
  <si>
    <t xml:space="preserve">H-001</t>
  </si>
  <si>
    <t xml:space="preserve">SUS304 stainless steel compressed air pipe, DN50, main header only</t>
  </si>
  <si>
    <t xml:space="preserve">H-002</t>
  </si>
  <si>
    <t xml:space="preserve">SUS304 stainless steel compressed air pipe, DN20, drop to pre-installed valve (0.8 m per drop)</t>
  </si>
  <si>
    <t xml:space="preserve">H-003</t>
  </si>
  <si>
    <t xml:space="preserve">Piping fittings: elbows, tees and accessories for the compressed air header</t>
  </si>
  <si>
    <t xml:space="preserve">H-004</t>
  </si>
  <si>
    <t xml:space="preserve">Manual shut-off valve, DN20, pre-installed on the main header for future branch connection</t>
  </si>
  <si>
    <t xml:space="preserve">H-005</t>
  </si>
  <si>
    <t xml:space="preserve">H-006</t>
  </si>
  <si>
    <t xml:space="preserve">Wall penetrations and firestop sealing for compressed air works</t>
  </si>
  <si>
    <t xml:space="preserve">H-007</t>
  </si>
  <si>
    <t xml:space="preserve">Auxiliary materials for compressed air works</t>
  </si>
  <si>
    <t xml:space="preserve">H-008</t>
  </si>
  <si>
    <t xml:space="preserve">Commissioning: pressure test, leak test and line purging</t>
  </si>
  <si>
    <t xml:space="preserve">H TOTAL</t>
  </si>
  <si>
    <t xml:space="preserve">SUBTOTAL SECTION H  —  08 COMPRESSED AIR DISTRIBUTION     </t>
  </si>
  <si>
    <t xml:space="preserve">TOTAL</t>
  </si>
  <si>
    <t xml:space="preserve">TOTAL DIRECT COST — ALL DISCIPLINES     </t>
  </si>
  <si>
    <t xml:space="preserve">6. COST SUMMARY  —  ALL FIGURES IN USD</t>
  </si>
  <si>
    <t xml:space="preserve">CONCEPT</t>
  </si>
  <si>
    <t xml:space="preserve">RATE</t>
  </si>
  <si>
    <t xml:space="preserve">AMOUNT (USD)</t>
  </si>
  <si>
    <t xml:space="preserve">BASIS</t>
  </si>
  <si>
    <t xml:space="preserve">A. 01 PRELIMINARIES AND CONSTRUCTION MEASURES</t>
  </si>
  <si>
    <t xml:space="preserve">Sum of priced line items, sheet 5</t>
  </si>
  <si>
    <t xml:space="preserve">B. 02 ARCHITECTURAL, STRUCTURE AND FINISHES</t>
  </si>
  <si>
    <t xml:space="preserve">C. 03 HVAC AND CLEANROOM AIR SYSTEMS</t>
  </si>
  <si>
    <t xml:space="preserve">D. 04 ELECTRICAL INSTALLATIONS</t>
  </si>
  <si>
    <t xml:space="preserve">E. 05 PLUMBING, WATER SUPPLY AND DRAINAGE</t>
  </si>
  <si>
    <t xml:space="preserve">F. 06 FIRE PROTECTION AND FIRE ALARM</t>
  </si>
  <si>
    <t xml:space="preserve">G. 07 IT, CCTV AND ACCESS CONTROL</t>
  </si>
  <si>
    <t xml:space="preserve">H. 08 COMPRESSED AIR DISTRIBUTION</t>
  </si>
  <si>
    <t xml:space="preserve">A. TOTAL DIRECT COST</t>
  </si>
  <si>
    <t xml:space="preserve">Material plus installation, all 341 line items, delivered and installed in place</t>
  </si>
  <si>
    <t xml:space="preserve">B. INDIRECT COST (head office overhead, bonds, financing)</t>
  </si>
  <si>
    <t xml:space="preserve">8% on direct cost. Site overheads (supervision, insurance, temporary facilities, utilities) are already priced in Section A, so this rate covers head office only and avoids double counting.</t>
  </si>
  <si>
    <t xml:space="preserve">C. SUBTOTAL (direct + indirect)</t>
  </si>
  <si>
    <t xml:space="preserve">D. CONTRACTOR'S PROFIT</t>
  </si>
  <si>
    <t xml:space="preserve">10% on the subtotal above, standard for turnkey industrial work of this scale in Baja California.</t>
  </si>
  <si>
    <t xml:space="preserve">E. SUBTOTAL (direct + indirect + profit)</t>
  </si>
  <si>
    <t xml:space="preserve">F. CONTINGENCY</t>
  </si>
  <si>
    <t xml:space="preserve">3% on the subtotal above. Covers quantity variation on verification against the IFC drawings and minor unforeseen conditions in the existing building. Unused contingency is returned to the client at final account.</t>
  </si>
  <si>
    <t xml:space="preserve">G. TOTAL BEFORE VAT</t>
  </si>
  <si>
    <t xml:space="preserve">Contract price excluding tax</t>
  </si>
  <si>
    <t xml:space="preserve">H. VAT</t>
  </si>
  <si>
    <t xml:space="preserve">8% under the Northern Border Region tax incentive for Baja California</t>
  </si>
  <si>
    <t xml:space="preserve">I. TOTAL CONTRACT PRICE (VAT included)</t>
  </si>
  <si>
    <t xml:space="preserve">MATERIAL / INSTALLATION SPLIT</t>
  </si>
  <si>
    <t xml:space="preserve">Material and equipment procurement</t>
  </si>
  <si>
    <t xml:space="preserve">Column D x column E, sheet 5</t>
  </si>
  <si>
    <t xml:space="preserve">Construction and installation works</t>
  </si>
  <si>
    <t xml:space="preserve">Column D x column F, sheet 5</t>
  </si>
  <si>
    <t xml:space="preserve">7. COMMERCIAL TERMS AND CONDITIONS</t>
  </si>
  <si>
    <t xml:space="preserve">7.1  PAYMENT SCHEDULE</t>
  </si>
  <si>
    <t xml:space="preserve">MILESTONE</t>
  </si>
  <si>
    <t xml:space="preserve">% OF PRICE</t>
  </si>
  <si>
    <t xml:space="preserve">RELEASE CONDITION</t>
  </si>
  <si>
    <t xml:space="preserve">Advance payment on contract signature  (week 1)</t>
  </si>
  <si>
    <t xml:space="preserve">Signed contract or purchase order, invoice and advance payment bond if required</t>
  </si>
  <si>
    <t xml:space="preserve">Progress estimate 1 - structure and partitions  (week 7)</t>
  </si>
  <si>
    <t xml:space="preserve">Certified progress, invoice and photographic report</t>
  </si>
  <si>
    <t xml:space="preserve">Progress estimate 2 - MEP rough-in complete  (week 13)</t>
  </si>
  <si>
    <t xml:space="preserve">Certified progress, invoice and rough-in inspection sign-off</t>
  </si>
  <si>
    <t xml:space="preserve">Progress estimate 3 - finishes and equipment set  (week 18)</t>
  </si>
  <si>
    <t xml:space="preserve">Certified progress, invoice and test reports</t>
  </si>
  <si>
    <t xml:space="preserve">Final payment on handover and acceptance  (week 24)</t>
  </si>
  <si>
    <t xml:space="preserve">Handover certificate, close-out dossier and invoice</t>
  </si>
  <si>
    <t xml:space="preserve">TOTAL     </t>
  </si>
  <si>
    <t xml:space="preserve">7.2  OFFER VALIDITY AND CURRENCY</t>
  </si>
  <si>
    <t xml:space="preserve">•  Validity: 30 calendar days from 10 September 2026. After that date prices are subject to review against supplier quotations then current.</t>
  </si>
  <si>
    <t xml:space="preserve">•  Currency: US dollars (USD). All payments are made in USD. Where a reference exchange rate is needed for peso inputs, 17.00 MXN/USD has been used and is reconsidered at contract signature.</t>
  </si>
  <si>
    <t xml:space="preserve">•  Prices are unit prices, firm for the validity period, and include material, labour, equipment, tools, transport, supervision and site overheads, delivered and installed in place.</t>
  </si>
  <si>
    <t xml:space="preserve">•  VAT of 8% applies under the Northern Border Region tax incentive for Baja California and is shown separately in the cost summary.</t>
  </si>
  <si>
    <t xml:space="preserve">7.3  ADVANCE PAYMENT AND ESTIMATES</t>
  </si>
  <si>
    <t xml:space="preserve">•  Advance payment: 30% of the contract price on signature, against invoice and, if required by the client, an advance payment bond issued by a Mexican surety.</t>
  </si>
  <si>
    <t xml:space="preserve">•  The advance is amortized proportionally against each subsequent progress estimate.</t>
  </si>
  <si>
    <t xml:space="preserve">•  Progress estimates are submitted monthly, certified jointly by the client's representative and EMP's superintendent, supported by measured quantities and a photographic report.</t>
  </si>
  <si>
    <t xml:space="preserve">•  Payment term: 7 business days from acceptance of the certified estimate and receipt of a valid invoice. Final payment: 10 business days.</t>
  </si>
  <si>
    <t xml:space="preserve">•  Retention: 5% of each estimate may be retained by the client and is released against the handover certificate, or may be substituted by a performance bond of equivalent value.</t>
  </si>
  <si>
    <t xml:space="preserve">7.4  WARRANTIES</t>
  </si>
  <si>
    <t xml:space="preserve">•  Workmanship and materials: 12 months from the date of substantial completion.</t>
  </si>
  <si>
    <t xml:space="preserve">•  Major equipment (HVAC condensing units, air handling units, pumps, transformer, boards): 24 months, or the manufacturer's warranty where longer, transferred to the client.</t>
  </si>
  <si>
    <t xml:space="preserve">•  Cleanroom envelope: 12 months on panel joint integrity and pressure cascade performance, subject to the client operating the systems within the design parameters.</t>
  </si>
  <si>
    <t xml:space="preserve">•  Warranty response: 24 to 48 hours for critical failures affecting production; 5 business days for non-critical items.</t>
  </si>
  <si>
    <t xml:space="preserve">•  Warranty excludes damage from misuse, unauthorized modification, lack of scheduled maintenance, or operation outside the design conditions.</t>
  </si>
  <si>
    <t xml:space="preserve">7.5  EXECUTION TIME AND PROGRAMME</t>
  </si>
  <si>
    <t xml:space="preserve">•  Contract duration: 24 weeks from receipt of the advance payment and the granting of site access, whichever is later.</t>
  </si>
  <si>
    <t xml:space="preserve">•  The programme in sheet 8 shows the critical path and the payment milestones. Long-lead equipment procurement is the governing constraint in the first ten weeks.</t>
  </si>
  <si>
    <t xml:space="preserve">•  Delays attributable to the client (access, decisions, owner-supplied equipment, permits) extend the programme day for day, with no cost impact for the first 15 working days in aggregate.</t>
  </si>
  <si>
    <t xml:space="preserve">•  Liquidated damages, if agreed, are capped at 5% of the contract price and apply only to delay attributable to EMP.</t>
  </si>
  <si>
    <t xml:space="preserve">•  Adoption of the Value Engineering measures in sheet 9 shortens the programme to 20 weeks, as set out in sheet 10.</t>
  </si>
  <si>
    <t xml:space="preserve">7.6  QUALITY, SAFETY AND CLOSE-OUT</t>
  </si>
  <si>
    <t xml:space="preserve">•  Quality control under an inspection and test plan agreed with the client before mobilization, with hold points at structure, rough-in, envelope and commissioning.</t>
  </si>
  <si>
    <t xml:space="preserve">•  Safety management per NOM-002-STPS and the client's plant rules, with a dedicated safety officer on site throughout.</t>
  </si>
  <si>
    <t xml:space="preserve">•  Close-out dossier: as-built drawings, equipment manuals, warranty certificates, test and balancing reports, indoor air quality results and fire protection sign-off.</t>
  </si>
  <si>
    <t xml:space="preserve">•  Handover includes a training session for the client's maintenance personnel on the HVAC, controls and fire protection systems.</t>
  </si>
  <si>
    <t xml:space="preserve">Respectfully submitted,</t>
  </si>
  <si>
    <t xml:space="preserve">Lestral Constructora / Electromecánica del Pacífico (EMP)  —  Technical lead and single point of contact</t>
  </si>
  <si>
    <t xml:space="preserve">8. CONSTRUCTION PROGRAMME  —  WEEKLY GANTT WITH CRITICAL PATH AND MILESTONES</t>
  </si>
  <si>
    <t xml:space="preserve">Duration 24 weeks from advance payment.  Legend:  ■ critical path   ■ non-critical activity   ◆ milestone   ▲ payment milestone</t>
  </si>
  <si>
    <t xml:space="preserve">#</t>
  </si>
  <si>
    <t xml:space="preserve">ACTIVITY</t>
  </si>
  <si>
    <t xml:space="preserve">PATH</t>
  </si>
  <si>
    <t xml:space="preserve">Contract award, mobilization and submittals</t>
  </si>
  <si>
    <t xml:space="preserve">CP</t>
  </si>
  <si>
    <t xml:space="preserve">Long-lead equipment procurement (VRF, DX AHU, boards, transformer)</t>
  </si>
  <si>
    <t xml:space="preserve">Shop drawings and NOM code-compliance adaptation</t>
  </si>
  <si>
    <t xml:space="preserve">Demolition and removal of existing MEP</t>
  </si>
  <si>
    <t xml:space="preserve">Wall and floor chasing, core drilling</t>
  </si>
  <si>
    <t xml:space="preserve">—</t>
  </si>
  <si>
    <t xml:space="preserve">Steel structure shop fabrication</t>
  </si>
  <si>
    <t xml:space="preserve">Steel structure erection</t>
  </si>
  <si>
    <t xml:space="preserve">Block walls and masonry</t>
  </si>
  <si>
    <t xml:space="preserve">HVAC ductwork rough-in</t>
  </si>
  <si>
    <t xml:space="preserve">Refrigerant and condensate piping</t>
  </si>
  <si>
    <t xml:space="preserve">Electrical tray, conduit and wiring rough-in</t>
  </si>
  <si>
    <t xml:space="preserve">Sprinkler and hydrant piping</t>
  </si>
  <si>
    <t xml:space="preserve">Plumbing and compressed air piping</t>
  </si>
  <si>
    <t xml:space="preserve">Cleanroom wall panel installation</t>
  </si>
  <si>
    <t xml:space="preserve">Cleanroom ceiling panel installation</t>
  </si>
  <si>
    <t xml:space="preserve">HVAC equipment setting and connection</t>
  </si>
  <si>
    <t xml:space="preserve">Boards, transformer and terminations</t>
  </si>
  <si>
    <t xml:space="preserve">Doors, viewing windows and hardware</t>
  </si>
  <si>
    <t xml:space="preserve">Tile, restroom finishes and partitions</t>
  </si>
  <si>
    <t xml:space="preserve">ESD and standard epoxy flooring</t>
  </si>
  <si>
    <t xml:space="preserve">Fire alarm devices and programming</t>
  </si>
  <si>
    <t xml:space="preserve">Lighting, devices, CCTV and access control</t>
  </si>
  <si>
    <t xml:space="preserve">Pressure testing, leak testing and flushing</t>
  </si>
  <si>
    <t xml:space="preserve">Commissioning and air/water balancing</t>
  </si>
  <si>
    <t xml:space="preserve">Cleanroom qualification and indoor air quality testing</t>
  </si>
  <si>
    <t xml:space="preserve">Punch list, final cleaning, as-builts and handover</t>
  </si>
  <si>
    <t xml:space="preserve">PROJECT MILESTONES</t>
  </si>
  <si>
    <t xml:space="preserve">M1 Contract award and advance payment</t>
  </si>
  <si>
    <t xml:space="preserve">◆</t>
  </si>
  <si>
    <t xml:space="preserve">M2 Shop drawings approved</t>
  </si>
  <si>
    <t xml:space="preserve">M3 Structure and partitions complete</t>
  </si>
  <si>
    <t xml:space="preserve">M4 MEP rough-in complete</t>
  </si>
  <si>
    <t xml:space="preserve">M5 Energization and equipment start-up</t>
  </si>
  <si>
    <t xml:space="preserve">M6 Commissioning complete</t>
  </si>
  <si>
    <t xml:space="preserve">M7 Substantial completion and handover</t>
  </si>
  <si>
    <t xml:space="preserve">PAYMENT MILESTONES</t>
  </si>
  <si>
    <t xml:space="preserve">Advance payment on contract signature  (30%)</t>
  </si>
  <si>
    <t xml:space="preserve">▲</t>
  </si>
  <si>
    <t xml:space="preserve">Progress estimate 1 - structure and partitions  (20%)</t>
  </si>
  <si>
    <t xml:space="preserve">Progress estimate 2 - MEP rough-in complete  (25%)</t>
  </si>
  <si>
    <t xml:space="preserve">Progress estimate 3 - finishes and equipment set  (15%)</t>
  </si>
  <si>
    <t xml:space="preserve">Final payment on handover and acceptance  (10%)</t>
  </si>
  <si>
    <t xml:space="preserve">Critical path: contract award and mobilization → long-lead equipment procurement → shop drawings and NOM adaptation → demolition → steel erection → HVAC ductwork rough-in → cleanroom wall panel → cleanroom ceiling panel → HVAC equipment set → epoxy flooring → commissioning and balancing → cleanroom qualification → handover. Procurement of the 123.5 kW condensing unit, the DX air handling unit and the 200 kVA transformer governs the first ten weeks; the Value Engineering measures in sheet 9 remove the transformer and the imported commodity materials from that critical path.</t>
  </si>
  <si>
    <t xml:space="preserve">9. VALUE ENGINEERING PROPOSED BY EMP</t>
  </si>
  <si>
    <t xml:space="preserve">The base quotation prices the executive project exactly as designed. The alternatives below are EMP's proposals; none has been applied to the base price. Each is quantified separately so the client can accept or reject it on its own merits. Savings are calculated on the affected line items in sheet 5.</t>
  </si>
  <si>
    <t xml:space="preserve">9.1  COST REDUCTION ALTERNATIVES</t>
  </si>
  <si>
    <t xml:space="preserve">REF</t>
  </si>
  <si>
    <t xml:space="preserve">ALTERNATIVE</t>
  </si>
  <si>
    <t xml:space="preserve">SCHEDULE IMPACT</t>
  </si>
  <si>
    <t xml:space="preserve">ESTIMATED SAVING (USD)</t>
  </si>
  <si>
    <t xml:space="preserve">PERFORMANCE IMPACT</t>
  </si>
  <si>
    <t xml:space="preserve">VE-01</t>
  </si>
  <si>
    <t xml:space="preserve">Re-specify all equipment and boards at 480/277-220 V, 60 Hz (NEMA/NOM) and delete the 200 kVA 480/380 V transformer</t>
  </si>
  <si>
    <t xml:space="preserve">-2 weeks</t>
  </si>
  <si>
    <t xml:space="preserve">Native NOM-001-SEDE compliance; removes ~2% transformation loss and a single point of failure; spare parts available locally instead of imported</t>
  </si>
  <si>
    <t xml:space="preserve">VE-02</t>
  </si>
  <si>
    <t xml:space="preserve">Substitute GB-standard raceway, conductor and water pipe for North American equivalents (JDG/SC to EMT/RMC, GB cable to THHN/XHHW, PP-R to CPVC)</t>
  </si>
  <si>
    <t xml:space="preserve">-4 weeks</t>
  </si>
  <si>
    <t xml:space="preserve">Equal or better performance, UL listed and NOM certified; removes 8-12 week import lead time and customs exposure on commodity materials</t>
  </si>
  <si>
    <t xml:space="preserve">VE-03</t>
  </si>
  <si>
    <t xml:space="preserve">Convert the GB fire design to NFPA 13 / NFPA 14 hydraulic design with K5.6 heads and a single combined riser serving sprinklers and hose stations</t>
  </si>
  <si>
    <t xml:space="preserve">-1 weeks</t>
  </si>
  <si>
    <t xml:space="preserve">Insurable design (FM/NFPA) accepted by Mexican authority and by the plant insurer; removes the re-inspection and re-work risk of a GB-only submittal</t>
  </si>
  <si>
    <t xml:space="preserve">VE-04</t>
  </si>
  <si>
    <t xml:space="preserve">Limit walkable cleanroom sandwich ceiling to classified areas; standard suspended ceiling in offices, change room and support areas</t>
  </si>
  <si>
    <t xml:space="preserve">No effect on ISO classification: the affected areas are outside the classified envelope and carry no pressure cascade requirement</t>
  </si>
  <si>
    <t xml:space="preserve">VE-05</t>
  </si>
  <si>
    <t xml:space="preserve">Apply ESD epoxy only to the areas with a declared electrostatic requirement; standard epoxy elsewhere</t>
  </si>
  <si>
    <t xml:space="preserve">neutral</t>
  </si>
  <si>
    <t xml:space="preserve">Requires written confirmation of the ESD zone boundary by the owner; ESD performance is unchanged inside the declared zone</t>
  </si>
  <si>
    <t xml:space="preserve">VE-06</t>
  </si>
  <si>
    <t xml:space="preserve">Use pre-insulated phenolic panel duct for the non-classified outside air and exhaust runs instead of galvanized duct with external insulation</t>
  </si>
  <si>
    <t xml:space="preserve">Lower leakage class and better thermal performance; fabricated on site, which removes the sheet-metal shop queue from the critical path</t>
  </si>
  <si>
    <t xml:space="preserve">VE-07</t>
  </si>
  <si>
    <t xml:space="preserve">Release the night-shift and acceleration allowance in exchange for 24-hour site access and a clear work front</t>
  </si>
  <si>
    <t xml:space="preserve">Requires the owner to grant unrestricted access; if access remains restricted to a single shift, the allowance must be reinstated</t>
  </si>
  <si>
    <t xml:space="preserve">Σ</t>
  </si>
  <si>
    <t xml:space="preserve">TOTAL DIRECT-COST SAVING IDENTIFIED     </t>
  </si>
  <si>
    <t xml:space="preserve">9.2  PERFORMANCE ALTERNATIVES (additional capital cost, operating cost reduction)</t>
  </si>
  <si>
    <t xml:space="preserve">ADDED CAPEX (USD)</t>
  </si>
  <si>
    <t xml:space="preserve">ANNUAL OPEX SAVING (USD)</t>
  </si>
  <si>
    <t xml:space="preserve">VE-08</t>
  </si>
  <si>
    <t xml:space="preserve">Heat-recovery VRF bank in place of two independent condensing units</t>
  </si>
  <si>
    <t xml:space="preserve">Transfers heat between zones that call for cooling and heating simultaneously; payback approx. 1.3 years</t>
  </si>
  <si>
    <t xml:space="preserve">VE-09</t>
  </si>
  <si>
    <t xml:space="preserve">Enthalpy recovery wheel on the 2,500 m3/h outside air unit</t>
  </si>
  <si>
    <t xml:space="preserve">Recovers approx. 65% of the outside air enthalpy load; payback approx. 1.3 years and reduces peak demand</t>
  </si>
  <si>
    <t xml:space="preserve">VE-10</t>
  </si>
  <si>
    <t xml:space="preserve">0-10 V dimming and occupancy control on non-classified area lighting</t>
  </si>
  <si>
    <t xml:space="preserve">No capital cost impact when specified at purchase; reduces lighting energy by approx. 35% in intermittently occupied areas</t>
  </si>
  <si>
    <t xml:space="preserve">EMP's recommendation: VE-01, VE-02 and VE-03 should be treated as compliance items rather than optional savings. The 380 V distribution voltage does not exist in the Mexican grid, and the GB fire design is not the basis on which the local authority or the plant insurer will approve the installation. Adopting the three together removes the transformer, the imported commodity materials and the re-submittal risk from the critical path, and is the single largest contributor to both the cost and the schedule reduction shown in sheet 10.</t>
  </si>
  <si>
    <t xml:space="preserve">10. SCENARIO COMPARISON  —  BASE CASE VS OPTIMIZED CASE</t>
  </si>
  <si>
    <t xml:space="preserve">Base case: the executive project priced exactly as designed. Optimized case: the base case with all seven cost-reduction alternatives of sheet 9.1 adopted.</t>
  </si>
  <si>
    <t xml:space="preserve">BASE CASE</t>
  </si>
  <si>
    <t xml:space="preserve">OPTIMIZED CASE</t>
  </si>
  <si>
    <t xml:space="preserve">DIFFERENCE</t>
  </si>
  <si>
    <t xml:space="preserve">Direct cost</t>
  </si>
  <si>
    <t xml:space="preserve">Indirect cost (8%)</t>
  </si>
  <si>
    <t xml:space="preserve">Profit (10%)</t>
  </si>
  <si>
    <t xml:space="preserve">Contingency (3%)</t>
  </si>
  <si>
    <t xml:space="preserve">TOTAL BEFORE VAT</t>
  </si>
  <si>
    <t xml:space="preserve">VAT 8%</t>
  </si>
  <si>
    <t xml:space="preserve">TOTAL CONTRACT PRICE</t>
  </si>
  <si>
    <t xml:space="preserve">Saving as % of contract price</t>
  </si>
  <si>
    <t xml:space="preserve">Construction duration (weeks)</t>
  </si>
  <si>
    <t xml:space="preserve">Annual operating cost saving (if 9.2 adopted)</t>
  </si>
  <si>
    <t xml:space="preserve">BENEFITS OF THE OPTIMIZED CASE</t>
  </si>
  <si>
    <t xml:space="preserve">•  Equipment operates at a distribution voltage that exists in Mexico, so spare parts, service and future extensions are sourced locally instead of imported.</t>
  </si>
  <si>
    <t xml:space="preserve">•  The 200 kVA transformer disappears from the electrical room, together with its standing losses, its footprint and its 10 to 12 week lead time.</t>
  </si>
  <si>
    <t xml:space="preserve">•  Commodity materials (conduit, conductor, water pipe) become UL listed and NOM certified, removing the customs and lead-time exposure from the critical path.</t>
  </si>
  <si>
    <t xml:space="preserve">•  The fire protection system becomes insurable on an NFPA basis, which is what both the Mexican authority and the plant insurer will actually review.</t>
  </si>
  <si>
    <t xml:space="preserve">•  Four weeks are recovered on the critical path, which brings production start-up forward by approximately one month.</t>
  </si>
  <si>
    <t xml:space="preserve">•  Cleanroom classification, pressure cascade, air change rate and ESD performance inside the declared zone are unchanged in every respect.</t>
  </si>
  <si>
    <t xml:space="preserve">11. COST SUMMARY MAPPED TO THE CLIENT'S BOQ FORMAT (sheet 01.Summary)</t>
  </si>
  <si>
    <t xml:space="preserve">The same price, presented in the client's own summary structure so the two documents can be reconciled line for line.</t>
  </si>
  <si>
    <t xml:space="preserve">No.</t>
  </si>
  <si>
    <t xml:space="preserve">ITEM DESCRIPTION</t>
  </si>
  <si>
    <t xml:space="preserve">CONSTRUCTION AND INSTALLATION (USD)</t>
  </si>
  <si>
    <t xml:space="preserve">EQUIPMENT PROCUREMENT (USD)</t>
  </si>
  <si>
    <t xml:space="preserve">TOTAL COST (USD)</t>
  </si>
  <si>
    <t xml:space="preserve">Construction measures cost</t>
  </si>
  <si>
    <t xml:space="preserve">Building decoration</t>
  </si>
  <si>
    <t xml:space="preserve">HVAC works</t>
  </si>
  <si>
    <t xml:space="preserve">Water supply and drainage works</t>
  </si>
  <si>
    <t xml:space="preserve">Fire protection works</t>
  </si>
  <si>
    <t xml:space="preserve">Electrical works</t>
  </si>
  <si>
    <t xml:space="preserve">Low-voltage works</t>
  </si>
  <si>
    <t xml:space="preserve">Compressed air works</t>
  </si>
  <si>
    <t xml:space="preserve">Shipping</t>
  </si>
  <si>
    <t xml:space="preserve">Included in the unit prices; no separate imported freight is carried</t>
  </si>
  <si>
    <t xml:space="preserve">Customs declaration and clearance fees</t>
  </si>
  <si>
    <t xml:space="preserve">Not applicable: materials are procured domestically</t>
  </si>
  <si>
    <t xml:space="preserve">Project management fee</t>
  </si>
  <si>
    <t xml:space="preserve">Subtotal excluding VAT</t>
  </si>
  <si>
    <t xml:space="preserve">TOTAL PRICE (USD)</t>
  </si>
  <si>
    <t xml:space="preserve">Line 11 carries the indirect cost, profit and contingency of sheet 6 grouped as a project management fee, which is the closest equivalent in the client's template. The total in line 14 is identical to the total contract price in sheet 6.</t>
  </si>
</sst>
</file>

<file path=xl/styles.xml><?xml version="1.0" encoding="utf-8"?>
<styleSheet xmlns="http://schemas.openxmlformats.org/spreadsheetml/2006/main">
  <numFmts count="7">
    <numFmt numFmtId="164" formatCode="General"/>
    <numFmt numFmtId="165" formatCode="\$#,##0"/>
    <numFmt numFmtId="166" formatCode="0.0%"/>
    <numFmt numFmtId="167" formatCode="General"/>
    <numFmt numFmtId="168" formatCode="#,##0"/>
    <numFmt numFmtId="169" formatCode="#,##0.00"/>
    <numFmt numFmtId="170" formatCode="\$#,##0.00"/>
  </numFmts>
  <fonts count="41">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b val="true"/>
      <sz val="10"/>
      <color rgb="FFFFFFFF"/>
      <name val="Arial"/>
      <family val="0"/>
      <charset val="1"/>
    </font>
    <font>
      <b val="true"/>
      <sz val="18"/>
      <color rgb="FF1F3864"/>
      <name val="Arial"/>
      <family val="0"/>
      <charset val="1"/>
    </font>
    <font>
      <b val="true"/>
      <sz val="11"/>
      <color rgb="FFC9A227"/>
      <name val="Arial"/>
      <family val="0"/>
      <charset val="1"/>
    </font>
    <font>
      <sz val="10"/>
      <color rgb="FF000000"/>
      <name val="Arial"/>
      <family val="0"/>
      <charset val="1"/>
    </font>
    <font>
      <b val="true"/>
      <sz val="12"/>
      <color rgb="FFFFFFFF"/>
      <name val="Arial"/>
      <family val="0"/>
      <charset val="1"/>
    </font>
    <font>
      <b val="true"/>
      <sz val="20"/>
      <color rgb="FF1F3864"/>
      <name val="Arial"/>
      <family val="0"/>
      <charset val="1"/>
    </font>
    <font>
      <i val="true"/>
      <sz val="9"/>
      <color rgb="FF808080"/>
      <name val="Arial"/>
      <family val="0"/>
      <charset val="1"/>
    </font>
    <font>
      <b val="true"/>
      <sz val="14"/>
      <color rgb="FFFFFFFF"/>
      <name val="Arial"/>
      <family val="0"/>
      <charset val="1"/>
    </font>
    <font>
      <b val="true"/>
      <sz val="11"/>
      <color rgb="FFFFFFFF"/>
      <name val="Arial"/>
      <family val="0"/>
      <charset val="1"/>
    </font>
    <font>
      <b val="true"/>
      <sz val="9"/>
      <color rgb="FFFFFFFF"/>
      <name val="Arial"/>
      <family val="0"/>
      <charset val="1"/>
    </font>
    <font>
      <sz val="9"/>
      <color rgb="FF000000"/>
      <name val="Arial"/>
      <family val="0"/>
      <charset val="1"/>
    </font>
    <font>
      <sz val="9"/>
      <color rgb="FF1E7B34"/>
      <name val="Arial"/>
      <family val="0"/>
      <charset val="1"/>
    </font>
    <font>
      <b val="true"/>
      <sz val="10"/>
      <color rgb="FF000000"/>
      <name val="Arial"/>
      <family val="0"/>
      <charset val="1"/>
    </font>
    <font>
      <b val="true"/>
      <sz val="11"/>
      <color rgb="FF1F3864"/>
      <name val="Arial"/>
      <family val="0"/>
      <charset val="1"/>
    </font>
    <font>
      <b val="true"/>
      <sz val="10"/>
      <color rgb="FFC9A227"/>
      <name val="Arial"/>
      <family val="0"/>
      <charset val="1"/>
    </font>
    <font>
      <b val="true"/>
      <sz val="9"/>
      <color rgb="FF1F3864"/>
      <name val="Arial"/>
      <family val="0"/>
      <charset val="1"/>
    </font>
    <font>
      <i val="true"/>
      <sz val="9"/>
      <color rgb="FF9C0006"/>
      <name val="Arial"/>
      <family val="0"/>
      <charset val="1"/>
    </font>
    <font>
      <sz val="9"/>
      <color rgb="FF0000FF"/>
      <name val="Arial"/>
      <family val="0"/>
      <charset val="1"/>
    </font>
    <font>
      <b val="true"/>
      <sz val="9"/>
      <color rgb="FF000000"/>
      <name val="Arial"/>
      <family val="0"/>
      <charset val="1"/>
    </font>
    <font>
      <i val="true"/>
      <sz val="8"/>
      <color rgb="FF808080"/>
      <name val="Arial"/>
      <family val="0"/>
      <charset val="1"/>
    </font>
    <font>
      <b val="true"/>
      <sz val="10"/>
      <color rgb="FF1F3864"/>
      <name val="Arial"/>
      <family val="0"/>
      <charset val="1"/>
    </font>
    <font>
      <sz val="10"/>
      <color rgb="FF0000FF"/>
      <name val="Arial"/>
      <family val="0"/>
      <charset val="1"/>
    </font>
    <font>
      <b val="true"/>
      <sz val="11"/>
      <color rgb="FF000000"/>
      <name val="Arial"/>
      <family val="0"/>
      <charset val="1"/>
    </font>
    <font>
      <sz val="10"/>
      <color rgb="FF808080"/>
      <name val="Arial"/>
      <family val="0"/>
      <charset val="1"/>
    </font>
    <font>
      <b val="true"/>
      <sz val="8"/>
      <color rgb="FFFFFFFF"/>
      <name val="Arial"/>
      <family val="0"/>
      <charset val="1"/>
    </font>
    <font>
      <b val="true"/>
      <sz val="7"/>
      <color rgb="FFFFFFFF"/>
      <name val="Arial"/>
      <family val="0"/>
      <charset val="1"/>
    </font>
    <font>
      <sz val="8"/>
      <color rgb="FF000000"/>
      <name val="Arial"/>
      <family val="0"/>
      <charset val="1"/>
    </font>
    <font>
      <b val="true"/>
      <sz val="8"/>
      <color rgb="FF808080"/>
      <name val="Arial"/>
      <family val="0"/>
      <charset val="1"/>
    </font>
    <font>
      <b val="true"/>
      <sz val="9"/>
      <color rgb="FF1E7B34"/>
      <name val="Arial"/>
      <family val="0"/>
      <charset val="1"/>
    </font>
    <font>
      <b val="true"/>
      <sz val="10"/>
      <color rgb="FF1E7B34"/>
      <name val="Arial"/>
      <family val="0"/>
      <charset val="1"/>
    </font>
    <font>
      <b val="true"/>
      <sz val="9"/>
      <color rgb="FF808080"/>
      <name val="Arial"/>
      <family val="0"/>
      <charset val="1"/>
    </font>
    <font>
      <sz val="9"/>
      <color rgb="FF9C0006"/>
      <name val="Arial"/>
      <family val="0"/>
      <charset val="1"/>
    </font>
    <font>
      <sz val="9"/>
      <color rgb="FF1F3864"/>
      <name val="Arial"/>
      <family val="0"/>
      <charset val="1"/>
    </font>
    <font>
      <b val="true"/>
      <sz val="10"/>
      <color rgb="FF9C0006"/>
      <name val="Arial"/>
      <family val="0"/>
      <charset val="1"/>
    </font>
    <font>
      <sz val="9"/>
      <color rgb="FF808080"/>
      <name val="Arial"/>
      <family val="0"/>
      <charset val="1"/>
    </font>
    <font>
      <b val="true"/>
      <sz val="13"/>
      <color rgb="FFFFFFFF"/>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C9A227"/>
        <bgColor rgb="FF99CC00"/>
      </patternFill>
    </fill>
    <fill>
      <patternFill patternType="solid">
        <fgColor rgb="FFF2F6FB"/>
        <bgColor rgb="FFFFFFFF"/>
      </patternFill>
    </fill>
    <fill>
      <patternFill patternType="solid">
        <fgColor rgb="FFFFF2CC"/>
        <bgColor rgb="FFF2F6FB"/>
      </patternFill>
    </fill>
    <fill>
      <patternFill patternType="solid">
        <fgColor rgb="FFC55A11"/>
        <bgColor rgb="FF993300"/>
      </patternFill>
    </fill>
    <fill>
      <patternFill patternType="solid">
        <fgColor rgb="FF8EA9DB"/>
        <bgColor rgb="FF969696"/>
      </patternFill>
    </fill>
    <fill>
      <patternFill patternType="solid">
        <fgColor rgb="FF1E7B34"/>
        <bgColor rgb="FF00808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5" fontId="10"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justify" vertical="center"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7" fontId="5" fillId="2" borderId="1" xfId="0" applyFont="true" applyBorder="true" applyAlignment="true" applyProtection="false">
      <alignment horizontal="center" vertical="center" textRotation="0" wrapText="false" indent="0" shrinkToFit="false"/>
      <protection locked="true" hidden="false"/>
    </xf>
    <xf numFmtId="165" fontId="5" fillId="2" borderId="1"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8" fontId="18"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3" fillId="3"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justify"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9" fontId="15" fillId="0" borderId="1" xfId="0" applyFont="true" applyBorder="true" applyAlignment="true" applyProtection="false">
      <alignment horizontal="right" vertical="center" textRotation="0" wrapText="false" indent="0" shrinkToFit="false"/>
      <protection locked="true" hidden="false"/>
    </xf>
    <xf numFmtId="170" fontId="22" fillId="6"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70" fontId="23" fillId="0" borderId="1" xfId="0" applyFont="true" applyBorder="tru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9" fontId="15" fillId="5" borderId="1" xfId="0" applyFont="true" applyBorder="true" applyAlignment="true" applyProtection="false">
      <alignment horizontal="right" vertical="center" textRotation="0" wrapText="false" indent="0" shrinkToFit="false"/>
      <protection locked="true" hidden="false"/>
    </xf>
    <xf numFmtId="170" fontId="15" fillId="5" borderId="1" xfId="0" applyFont="true" applyBorder="true" applyAlignment="false" applyProtection="false">
      <alignment horizontal="general" vertical="bottom" textRotation="0" wrapText="false" indent="0" shrinkToFit="false"/>
      <protection locked="true" hidden="false"/>
    </xf>
    <xf numFmtId="170" fontId="23" fillId="5" borderId="1"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right" vertical="center" textRotation="0" wrapText="false" indent="0" shrinkToFit="false"/>
      <protection locked="true" hidden="false"/>
    </xf>
    <xf numFmtId="170" fontId="5" fillId="2"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right" vertical="center"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6" fontId="17" fillId="3" borderId="1" xfId="0" applyFont="true" applyBorder="true" applyAlignment="true" applyProtection="false">
      <alignment horizontal="center" vertical="center" textRotation="0" wrapText="false" indent="0" shrinkToFit="false"/>
      <protection locked="true" hidden="false"/>
    </xf>
    <xf numFmtId="170" fontId="25" fillId="3" borderId="1" xfId="0" applyFont="true" applyBorder="true" applyAlignment="false" applyProtection="false">
      <alignment horizontal="general" vertical="bottom" textRotation="0" wrapText="false" indent="0" shrinkToFit="false"/>
      <protection locked="true" hidden="false"/>
    </xf>
    <xf numFmtId="164" fontId="24"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26" fillId="6" borderId="1" xfId="0" applyFont="true" applyBorder="true" applyAlignment="true" applyProtection="false">
      <alignment horizontal="center" vertical="center" textRotation="0" wrapText="false" indent="0" shrinkToFit="false"/>
      <protection locked="true" hidden="false"/>
    </xf>
    <xf numFmtId="170" fontId="25"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6" fontId="17" fillId="5" borderId="1" xfId="0" applyFont="true" applyBorder="true" applyAlignment="true" applyProtection="false">
      <alignment horizontal="center" vertical="center" textRotation="0" wrapText="false" indent="0" shrinkToFit="false"/>
      <protection locked="true" hidden="false"/>
    </xf>
    <xf numFmtId="170" fontId="25" fillId="5" borderId="1" xfId="0" applyFont="true" applyBorder="true" applyAlignment="false" applyProtection="false">
      <alignment horizontal="general" vertical="bottom" textRotation="0" wrapText="fals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70" fontId="9" fillId="2" borderId="1" xfId="0" applyFont="true" applyBorder="true" applyAlignment="false" applyProtection="false">
      <alignment horizontal="general" vertical="bottom" textRotation="0" wrapText="false" indent="0" shrinkToFit="false"/>
      <protection locked="true" hidden="false"/>
    </xf>
    <xf numFmtId="164" fontId="24" fillId="2"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center" vertical="center" textRotation="0" wrapText="fals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6" fontId="22" fillId="6"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right" vertical="center"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29"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30" fillId="2"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justify" vertical="center" textRotation="0" wrapText="true" indent="0" shrinkToFit="false"/>
      <protection locked="true" hidden="false"/>
    </xf>
    <xf numFmtId="164" fontId="15" fillId="0" borderId="1" xfId="0" applyFont="true" applyBorder="true" applyAlignment="true" applyProtection="false">
      <alignment horizontal="justify" vertical="center" textRotation="0" wrapText="tru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70" fontId="34" fillId="6"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justify" vertical="center" textRotation="0" wrapText="true" indent="0" shrinkToFit="false"/>
      <protection locked="true" hidden="false"/>
    </xf>
    <xf numFmtId="164" fontId="35" fillId="0" borderId="1" xfId="0" applyFont="true" applyBorder="true" applyAlignment="true" applyProtection="false">
      <alignment horizontal="center" vertical="center" textRotation="0" wrapText="false" indent="0" shrinkToFit="false"/>
      <protection locked="true" hidden="false"/>
    </xf>
    <xf numFmtId="170" fontId="13" fillId="2" borderId="1" xfId="0" applyFont="true" applyBorder="true" applyAlignment="false" applyProtection="false">
      <alignment horizontal="general" vertical="bottom" textRotation="0" wrapText="false" indent="0" shrinkToFit="false"/>
      <protection locked="true" hidden="false"/>
    </xf>
    <xf numFmtId="170" fontId="36" fillId="0" borderId="1"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true" applyAlignment="true" applyProtection="false">
      <alignment horizontal="justify"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70" fontId="25" fillId="0" borderId="1" xfId="0" applyFont="true" applyBorder="true" applyAlignment="true" applyProtection="false">
      <alignment horizontal="center" vertical="center" textRotation="0" wrapText="false" indent="0" shrinkToFit="false"/>
      <protection locked="true" hidden="false"/>
    </xf>
    <xf numFmtId="170" fontId="34" fillId="0" borderId="1" xfId="0" applyFont="true" applyBorder="true" applyAlignment="true" applyProtection="false">
      <alignment horizontal="center" vertical="center" textRotation="0" wrapText="false" indent="0" shrinkToFit="false"/>
      <protection locked="true" hidden="false"/>
    </xf>
    <xf numFmtId="170" fontId="38" fillId="0" borderId="1" xfId="0" applyFont="true" applyBorder="true" applyAlignment="true" applyProtection="false">
      <alignment horizontal="center" vertical="center" textRotation="0" wrapText="false" indent="0" shrinkToFit="false"/>
      <protection locked="true" hidden="false"/>
    </xf>
    <xf numFmtId="170" fontId="25" fillId="3" borderId="1" xfId="0" applyFont="true" applyBorder="true" applyAlignment="true" applyProtection="false">
      <alignment horizontal="center" vertical="center" textRotation="0" wrapText="false" indent="0" shrinkToFit="false"/>
      <protection locked="true" hidden="false"/>
    </xf>
    <xf numFmtId="170" fontId="34" fillId="3" borderId="1" xfId="0" applyFont="true" applyBorder="true" applyAlignment="true" applyProtection="false">
      <alignment horizontal="center" vertical="center" textRotation="0" wrapText="false" indent="0" shrinkToFit="false"/>
      <protection locked="true" hidden="false"/>
    </xf>
    <xf numFmtId="170" fontId="38" fillId="3" borderId="1" xfId="0" applyFont="true" applyBorder="true" applyAlignment="true" applyProtection="false">
      <alignment horizontal="center" vertical="center" textRotation="0" wrapText="false" indent="0" shrinkToFit="false"/>
      <protection locked="true" hidden="false"/>
    </xf>
    <xf numFmtId="170" fontId="9" fillId="4" borderId="1" xfId="0" applyFont="true" applyBorder="true" applyAlignment="true" applyProtection="false">
      <alignment horizontal="center" vertical="center" textRotation="0" wrapText="false" indent="0" shrinkToFit="false"/>
      <protection locked="true" hidden="false"/>
    </xf>
    <xf numFmtId="166" fontId="25" fillId="0" borderId="1" xfId="0" applyFont="true" applyBorder="true" applyAlignment="true" applyProtection="false">
      <alignment horizontal="center" vertical="center" textRotation="0" wrapText="false" indent="0" shrinkToFit="false"/>
      <protection locked="true" hidden="false"/>
    </xf>
    <xf numFmtId="166" fontId="34" fillId="0" borderId="1" xfId="0" applyFont="true" applyBorder="true" applyAlignment="true" applyProtection="false">
      <alignment horizontal="center" vertical="center" textRotation="0" wrapText="false" indent="0" shrinkToFit="false"/>
      <protection locked="true" hidden="false"/>
    </xf>
    <xf numFmtId="166" fontId="38" fillId="0" borderId="1" xfId="0" applyFont="true" applyBorder="true" applyAlignment="true" applyProtection="false">
      <alignment horizontal="center" vertical="center" textRotation="0" wrapText="false" indent="0" shrinkToFit="false"/>
      <protection locked="true" hidden="false"/>
    </xf>
    <xf numFmtId="168" fontId="25" fillId="0" borderId="1" xfId="0" applyFont="true" applyBorder="true" applyAlignment="true" applyProtection="false">
      <alignment horizontal="center" vertical="center" textRotation="0" wrapText="false" indent="0" shrinkToFit="false"/>
      <protection locked="true" hidden="false"/>
    </xf>
    <xf numFmtId="168" fontId="34" fillId="0" borderId="1" xfId="0" applyFont="true" applyBorder="true" applyAlignment="true" applyProtection="false">
      <alignment horizontal="center" vertical="center" textRotation="0" wrapText="false" indent="0" shrinkToFit="false"/>
      <protection locked="true" hidden="false"/>
    </xf>
    <xf numFmtId="168" fontId="38"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70" fontId="39" fillId="0" borderId="1" xfId="0" applyFont="true" applyBorder="true" applyAlignment="false" applyProtection="false">
      <alignment horizontal="general" vertical="bottom" textRotation="0" wrapText="false" indent="0" shrinkToFit="false"/>
      <protection locked="true" hidden="false"/>
    </xf>
    <xf numFmtId="170" fontId="24"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70" fontId="40"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1E7B34"/>
      <rgbColor rgb="FF000080"/>
      <rgbColor rgb="FF808000"/>
      <rgbColor rgb="FF800080"/>
      <rgbColor rgb="FF008080"/>
      <rgbColor rgb="FFBFBFBF"/>
      <rgbColor rgb="FF808080"/>
      <rgbColor rgb="FF8EA9DB"/>
      <rgbColor rgb="FF993366"/>
      <rgbColor rgb="FFFFF2CC"/>
      <rgbColor rgb="FFF2F6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C55A11"/>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22"/>
    <col collapsed="false" customWidth="true" hidden="false" outlineLevel="0" max="6" min="4" style="0" width="20"/>
    <col collapsed="false" customWidth="true" hidden="false" outlineLevel="0" max="7" min="7" style="0" width="18"/>
    <col collapsed="false" customWidth="true" hidden="false" outlineLevel="0" max="8" min="8" style="0" width="3"/>
  </cols>
  <sheetData>
    <row r="2" customFormat="false" ht="25.5" hidden="false" customHeight="true" outlineLevel="0" collapsed="false">
      <c r="B2" s="1" t="s">
        <v>0</v>
      </c>
      <c r="C2" s="1"/>
      <c r="D2" s="1"/>
      <c r="E2" s="1"/>
      <c r="F2" s="1"/>
      <c r="G2" s="1"/>
    </row>
    <row r="3" customFormat="false" ht="25.5" hidden="false" customHeight="true" outlineLevel="0" collapsed="false">
      <c r="B3" s="1"/>
      <c r="C3" s="1"/>
      <c r="D3" s="1"/>
      <c r="E3" s="1"/>
      <c r="F3" s="1"/>
      <c r="G3" s="1"/>
    </row>
    <row r="4" customFormat="false" ht="15" hidden="false" customHeight="false" outlineLevel="0" collapsed="false">
      <c r="B4" s="1"/>
      <c r="C4" s="1"/>
      <c r="D4" s="1"/>
      <c r="E4" s="1"/>
      <c r="F4" s="1"/>
      <c r="G4" s="1"/>
    </row>
    <row r="5" customFormat="false" ht="15" hidden="false" customHeight="false" outlineLevel="0" collapsed="false">
      <c r="B5" s="2" t="s">
        <v>1</v>
      </c>
      <c r="C5" s="2"/>
      <c r="D5" s="2"/>
      <c r="E5" s="2"/>
      <c r="F5" s="2"/>
      <c r="G5" s="2"/>
    </row>
    <row r="7" customFormat="false" ht="24" hidden="false" customHeight="true" outlineLevel="0" collapsed="false">
      <c r="B7" s="3" t="s">
        <v>2</v>
      </c>
      <c r="C7" s="3"/>
      <c r="D7" s="3"/>
      <c r="E7" s="3"/>
      <c r="F7" s="3"/>
      <c r="G7" s="3"/>
    </row>
    <row r="8" customFormat="false" ht="24" hidden="false" customHeight="true" outlineLevel="0" collapsed="false">
      <c r="B8" s="3"/>
      <c r="C8" s="3"/>
      <c r="D8" s="3"/>
      <c r="E8" s="3"/>
      <c r="F8" s="3"/>
      <c r="G8" s="3"/>
    </row>
    <row r="9" customFormat="false" ht="15" hidden="false" customHeight="false" outlineLevel="0" collapsed="false">
      <c r="B9" s="4" t="s">
        <v>3</v>
      </c>
      <c r="C9" s="4"/>
      <c r="D9" s="4"/>
      <c r="E9" s="4"/>
      <c r="F9" s="4"/>
      <c r="G9" s="4"/>
    </row>
    <row r="11" customFormat="false" ht="19.5" hidden="false" customHeight="true" outlineLevel="0" collapsed="false">
      <c r="B11" s="5" t="s">
        <v>4</v>
      </c>
      <c r="C11" s="6" t="s">
        <v>5</v>
      </c>
      <c r="D11" s="6"/>
      <c r="E11" s="6"/>
      <c r="F11" s="6"/>
      <c r="G11" s="6"/>
    </row>
    <row r="12" customFormat="false" ht="19.5" hidden="false" customHeight="true" outlineLevel="0" collapsed="false">
      <c r="B12" s="5" t="s">
        <v>6</v>
      </c>
      <c r="C12" s="6" t="s">
        <v>7</v>
      </c>
      <c r="D12" s="6"/>
      <c r="E12" s="6"/>
      <c r="F12" s="6"/>
      <c r="G12" s="6"/>
    </row>
    <row r="13" customFormat="false" ht="19.5" hidden="false" customHeight="true" outlineLevel="0" collapsed="false">
      <c r="B13" s="5" t="s">
        <v>8</v>
      </c>
      <c r="C13" s="6" t="s">
        <v>9</v>
      </c>
      <c r="D13" s="6"/>
      <c r="E13" s="6"/>
      <c r="F13" s="6"/>
      <c r="G13" s="6"/>
    </row>
    <row r="14" customFormat="false" ht="19.5" hidden="false" customHeight="true" outlineLevel="0" collapsed="false">
      <c r="B14" s="5" t="s">
        <v>10</v>
      </c>
      <c r="C14" s="6" t="s">
        <v>11</v>
      </c>
      <c r="D14" s="6"/>
      <c r="E14" s="6"/>
      <c r="F14" s="6"/>
      <c r="G14" s="6"/>
    </row>
    <row r="15" customFormat="false" ht="19.5" hidden="false" customHeight="true" outlineLevel="0" collapsed="false">
      <c r="B15" s="5" t="s">
        <v>12</v>
      </c>
      <c r="C15" s="6" t="s">
        <v>13</v>
      </c>
      <c r="D15" s="6"/>
      <c r="E15" s="6"/>
      <c r="F15" s="6"/>
      <c r="G15" s="6"/>
    </row>
    <row r="16" customFormat="false" ht="19.5" hidden="false" customHeight="true" outlineLevel="0" collapsed="false">
      <c r="B16" s="5" t="s">
        <v>14</v>
      </c>
      <c r="C16" s="6" t="s">
        <v>15</v>
      </c>
      <c r="D16" s="6"/>
      <c r="E16" s="6"/>
      <c r="F16" s="6"/>
      <c r="G16" s="6"/>
    </row>
    <row r="17" customFormat="false" ht="19.5" hidden="false" customHeight="true" outlineLevel="0" collapsed="false">
      <c r="B17" s="5" t="s">
        <v>16</v>
      </c>
      <c r="C17" s="6" t="s">
        <v>17</v>
      </c>
      <c r="D17" s="6"/>
      <c r="E17" s="6"/>
      <c r="F17" s="6"/>
      <c r="G17" s="6"/>
    </row>
    <row r="18" customFormat="false" ht="19.5" hidden="false" customHeight="true" outlineLevel="0" collapsed="false">
      <c r="B18" s="5" t="s">
        <v>18</v>
      </c>
      <c r="C18" s="6" t="s">
        <v>19</v>
      </c>
      <c r="D18" s="6"/>
      <c r="E18" s="6"/>
      <c r="F18" s="6"/>
      <c r="G18" s="6"/>
    </row>
    <row r="19" customFormat="false" ht="19.5" hidden="false" customHeight="true" outlineLevel="0" collapsed="false">
      <c r="B19" s="5" t="s">
        <v>20</v>
      </c>
      <c r="C19" s="6" t="s">
        <v>21</v>
      </c>
      <c r="D19" s="6"/>
      <c r="E19" s="6"/>
      <c r="F19" s="6"/>
      <c r="G19" s="6"/>
    </row>
    <row r="20" customFormat="false" ht="19.5" hidden="false" customHeight="true" outlineLevel="0" collapsed="false">
      <c r="B20" s="5" t="s">
        <v>22</v>
      </c>
      <c r="C20" s="6" t="s">
        <v>23</v>
      </c>
      <c r="D20" s="6"/>
      <c r="E20" s="6"/>
      <c r="F20" s="6"/>
      <c r="G20" s="6"/>
    </row>
    <row r="22" customFormat="false" ht="15" hidden="false" customHeight="false" outlineLevel="0" collapsed="false">
      <c r="B22" s="7" t="s">
        <v>24</v>
      </c>
      <c r="C22" s="7"/>
      <c r="D22" s="7"/>
      <c r="E22" s="7"/>
      <c r="F22" s="7"/>
      <c r="G22" s="7"/>
    </row>
    <row r="23" customFormat="false" ht="33.75" hidden="false" customHeight="true" outlineLevel="0" collapsed="false">
      <c r="B23" s="8" t="n">
        <f aca="false">'6. COST SUMMARY'!D21</f>
        <v>2369001.76</v>
      </c>
      <c r="C23" s="8"/>
      <c r="D23" s="8"/>
      <c r="E23" s="8"/>
      <c r="F23" s="8"/>
      <c r="G23" s="8"/>
    </row>
    <row r="25" customFormat="false" ht="15" hidden="false" customHeight="true" outlineLevel="0" collapsed="false">
      <c r="B25" s="9" t="s">
        <v>25</v>
      </c>
      <c r="C25" s="9"/>
      <c r="D25" s="9"/>
      <c r="E25" s="9"/>
      <c r="F25" s="9"/>
      <c r="G25" s="9"/>
    </row>
    <row r="26" customFormat="false" ht="15" hidden="false" customHeight="false" outlineLevel="0" collapsed="false">
      <c r="B26" s="9"/>
      <c r="C26" s="9"/>
      <c r="D26" s="9"/>
      <c r="E26" s="9"/>
      <c r="F26" s="9"/>
      <c r="G26" s="9"/>
    </row>
    <row r="27" customFormat="false" ht="15" hidden="false" customHeight="false" outlineLevel="0" collapsed="false">
      <c r="B27" s="9"/>
      <c r="C27" s="9"/>
      <c r="D27" s="9"/>
      <c r="E27" s="9"/>
      <c r="F27" s="9"/>
      <c r="G27" s="9"/>
    </row>
  </sheetData>
  <mergeCells count="17">
    <mergeCell ref="B2:G4"/>
    <mergeCell ref="B5:G5"/>
    <mergeCell ref="B7:G8"/>
    <mergeCell ref="B9:G9"/>
    <mergeCell ref="C11:G11"/>
    <mergeCell ref="C12:G12"/>
    <mergeCell ref="C13:G13"/>
    <mergeCell ref="C14:G14"/>
    <mergeCell ref="C15:G15"/>
    <mergeCell ref="C16:G16"/>
    <mergeCell ref="C17:G17"/>
    <mergeCell ref="C18:G18"/>
    <mergeCell ref="C19:G19"/>
    <mergeCell ref="C20:G20"/>
    <mergeCell ref="B22:G22"/>
    <mergeCell ref="B23:G23"/>
    <mergeCell ref="B25: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7" min="3" style="0" width="18"/>
    <col collapsed="false" customWidth="true" hidden="false" outlineLevel="0" max="8" min="8" style="0" width="3"/>
  </cols>
  <sheetData>
    <row r="1" customFormat="false" ht="25.5" hidden="false" customHeight="true" outlineLevel="0" collapsed="false">
      <c r="A1" s="10" t="s">
        <v>26</v>
      </c>
      <c r="B1" s="10"/>
      <c r="C1" s="10"/>
      <c r="D1" s="10"/>
      <c r="E1" s="10"/>
      <c r="F1" s="10"/>
      <c r="G1" s="10"/>
      <c r="H1" s="10"/>
    </row>
    <row r="2" customFormat="false" ht="19.5" hidden="false" customHeight="true" outlineLevel="0" collapsed="false">
      <c r="A2" s="11" t="s">
        <v>27</v>
      </c>
      <c r="B2" s="11"/>
      <c r="C2" s="11"/>
      <c r="D2" s="11"/>
      <c r="E2" s="11"/>
      <c r="F2" s="11"/>
      <c r="G2" s="11"/>
      <c r="H2" s="11"/>
    </row>
    <row r="4" customFormat="false" ht="15" hidden="false" customHeight="true" outlineLevel="0" collapsed="false">
      <c r="B4" s="12" t="s">
        <v>28</v>
      </c>
      <c r="C4" s="12"/>
      <c r="D4" s="12"/>
      <c r="E4" s="12"/>
      <c r="F4" s="12"/>
      <c r="G4" s="12"/>
    </row>
    <row r="5" customFormat="false" ht="15" hidden="false" customHeight="false" outlineLevel="0" collapsed="false">
      <c r="B5" s="12"/>
      <c r="C5" s="12"/>
      <c r="D5" s="12"/>
      <c r="E5" s="12"/>
      <c r="F5" s="12"/>
      <c r="G5" s="12"/>
    </row>
    <row r="6" customFormat="false" ht="15" hidden="false" customHeight="false" outlineLevel="0" collapsed="false">
      <c r="B6" s="12"/>
      <c r="C6" s="12"/>
      <c r="D6" s="12"/>
      <c r="E6" s="12"/>
      <c r="F6" s="12"/>
      <c r="G6" s="12"/>
    </row>
    <row r="7" customFormat="false" ht="15" hidden="false" customHeight="false" outlineLevel="0" collapsed="false">
      <c r="B7" s="12"/>
      <c r="C7" s="12"/>
      <c r="D7" s="12"/>
      <c r="E7" s="12"/>
      <c r="F7" s="12"/>
      <c r="G7" s="12"/>
    </row>
    <row r="8" customFormat="false" ht="15" hidden="false" customHeight="false" outlineLevel="0" collapsed="false">
      <c r="B8" s="12"/>
      <c r="C8" s="12"/>
      <c r="D8" s="12"/>
      <c r="E8" s="12"/>
      <c r="F8" s="12"/>
      <c r="G8" s="12"/>
    </row>
    <row r="9" customFormat="false" ht="15" hidden="false" customHeight="false" outlineLevel="0" collapsed="false">
      <c r="B9" s="12"/>
      <c r="C9" s="12"/>
      <c r="D9" s="12"/>
      <c r="E9" s="12"/>
      <c r="F9" s="12"/>
      <c r="G9" s="12"/>
    </row>
    <row r="10" customFormat="false" ht="15" hidden="false" customHeight="false" outlineLevel="0" collapsed="false">
      <c r="B10" s="12"/>
      <c r="C10" s="12"/>
      <c r="D10" s="12"/>
      <c r="E10" s="12"/>
      <c r="F10" s="12"/>
      <c r="G10" s="12"/>
    </row>
    <row r="11" customFormat="false" ht="15" hidden="false" customHeight="false" outlineLevel="0" collapsed="false">
      <c r="B11" s="12"/>
      <c r="C11" s="12"/>
      <c r="D11" s="12"/>
      <c r="E11" s="12"/>
      <c r="F11" s="12"/>
      <c r="G11" s="12"/>
    </row>
    <row r="12" customFormat="false" ht="15" hidden="false" customHeight="false" outlineLevel="0" collapsed="false">
      <c r="B12" s="12"/>
      <c r="C12" s="12"/>
      <c r="D12" s="12"/>
      <c r="E12" s="12"/>
      <c r="F12" s="12"/>
      <c r="G12" s="12"/>
    </row>
    <row r="13" customFormat="false" ht="15" hidden="false" customHeight="false" outlineLevel="0" collapsed="false">
      <c r="B13" s="12"/>
      <c r="C13" s="12"/>
      <c r="D13" s="12"/>
      <c r="E13" s="12"/>
      <c r="F13" s="12"/>
      <c r="G13" s="12"/>
    </row>
    <row r="14" customFormat="false" ht="15" hidden="false" customHeight="false" outlineLevel="0" collapsed="false">
      <c r="B14" s="12"/>
      <c r="C14" s="12"/>
      <c r="D14" s="12"/>
      <c r="E14" s="12"/>
      <c r="F14" s="12"/>
      <c r="G14" s="12"/>
    </row>
    <row r="15" customFormat="false" ht="15" hidden="false" customHeight="false" outlineLevel="0" collapsed="false">
      <c r="B15" s="12"/>
      <c r="C15" s="12"/>
      <c r="D15" s="12"/>
      <c r="E15" s="12"/>
      <c r="F15" s="12"/>
      <c r="G15" s="12"/>
    </row>
    <row r="16" customFormat="false" ht="15" hidden="false" customHeight="false" outlineLevel="0" collapsed="false">
      <c r="B16" s="12"/>
      <c r="C16" s="12"/>
      <c r="D16" s="12"/>
      <c r="E16" s="12"/>
      <c r="F16" s="12"/>
      <c r="G16" s="12"/>
    </row>
    <row r="17" customFormat="false" ht="15" hidden="false" customHeight="false" outlineLevel="0" collapsed="false">
      <c r="B17" s="12"/>
      <c r="C17" s="12"/>
      <c r="D17" s="12"/>
      <c r="E17" s="12"/>
      <c r="F17" s="12"/>
      <c r="G17" s="12"/>
    </row>
    <row r="18" customFormat="false" ht="15" hidden="false" customHeight="false" outlineLevel="0" collapsed="false">
      <c r="B18" s="12"/>
      <c r="C18" s="12"/>
      <c r="D18" s="12"/>
      <c r="E18" s="12"/>
      <c r="F18" s="12"/>
      <c r="G18" s="12"/>
    </row>
    <row r="20" customFormat="false" ht="15" hidden="false" customHeight="false" outlineLevel="0" collapsed="false">
      <c r="B20" s="13" t="s">
        <v>29</v>
      </c>
      <c r="C20" s="14"/>
      <c r="D20" s="14"/>
      <c r="E20" s="14"/>
      <c r="F20" s="14"/>
      <c r="G20" s="14"/>
    </row>
    <row r="21" customFormat="false" ht="15" hidden="false" customHeight="false" outlineLevel="0" collapsed="false">
      <c r="B21" s="15" t="s">
        <v>30</v>
      </c>
      <c r="C21" s="15" t="s">
        <v>31</v>
      </c>
      <c r="D21" s="15" t="s">
        <v>32</v>
      </c>
      <c r="E21" s="15" t="s">
        <v>33</v>
      </c>
    </row>
    <row r="22" customFormat="false" ht="25.5" hidden="false" customHeight="true" outlineLevel="0" collapsed="false">
      <c r="B22" s="16" t="s">
        <v>34</v>
      </c>
      <c r="C22" s="17" t="n">
        <v>22</v>
      </c>
      <c r="D22" s="18" t="n">
        <f aca="false">SUMIF('5. BOQ DETAIL'!$A:$A,"A TOTAL",'5. BOQ DETAIL'!$H:$H)</f>
        <v>266800</v>
      </c>
      <c r="E22" s="19" t="n">
        <f aca="false">IF($D$30=0,0,D22/$D$30)</f>
        <v>0.148832529855231</v>
      </c>
    </row>
    <row r="23" customFormat="false" ht="25.5" hidden="false" customHeight="true" outlineLevel="0" collapsed="false">
      <c r="B23" s="16" t="s">
        <v>35</v>
      </c>
      <c r="C23" s="17" t="n">
        <v>31</v>
      </c>
      <c r="D23" s="18" t="n">
        <f aca="false">SUMIF('5. BOQ DETAIL'!$A:$A,"B TOTAL",'5. BOQ DETAIL'!$H:$H)</f>
        <v>606786.77</v>
      </c>
      <c r="E23" s="19" t="n">
        <f aca="false">IF($D$30=0,0,D23/$D$30)</f>
        <v>0.338491791835773</v>
      </c>
    </row>
    <row r="24" customFormat="false" ht="25.5" hidden="false" customHeight="true" outlineLevel="0" collapsed="false">
      <c r="B24" s="16" t="s">
        <v>36</v>
      </c>
      <c r="C24" s="17" t="n">
        <v>111</v>
      </c>
      <c r="D24" s="18" t="n">
        <f aca="false">SUMIF('5. BOQ DETAIL'!$A:$A,"C TOTAL",'5. BOQ DETAIL'!$H:$H)</f>
        <v>365367</v>
      </c>
      <c r="E24" s="19" t="n">
        <f aca="false">IF($D$30=0,0,D24/$D$30)</f>
        <v>0.203817447284918</v>
      </c>
    </row>
    <row r="25" customFormat="false" ht="25.5" hidden="false" customHeight="true" outlineLevel="0" collapsed="false">
      <c r="B25" s="16" t="s">
        <v>37</v>
      </c>
      <c r="C25" s="17" t="n">
        <v>63</v>
      </c>
      <c r="D25" s="18" t="n">
        <f aca="false">SUMIF('5. BOQ DETAIL'!$A:$A,"D TOTAL",'5. BOQ DETAIL'!$H:$H)</f>
        <v>275378.78</v>
      </c>
      <c r="E25" s="19" t="n">
        <f aca="false">IF($D$30=0,0,D25/$D$30)</f>
        <v>0.153618142788032</v>
      </c>
    </row>
    <row r="26" customFormat="false" ht="25.5" hidden="false" customHeight="true" outlineLevel="0" collapsed="false">
      <c r="B26" s="16" t="s">
        <v>38</v>
      </c>
      <c r="C26" s="17" t="n">
        <v>35</v>
      </c>
      <c r="D26" s="18" t="n">
        <f aca="false">SUMIF('5. BOQ DETAIL'!$A:$A,"E TOTAL",'5. BOQ DETAIL'!$H:$H)</f>
        <v>62252.99</v>
      </c>
      <c r="E26" s="19" t="n">
        <f aca="false">IF($D$30=0,0,D26/$D$30)</f>
        <v>0.0347273987734347</v>
      </c>
    </row>
    <row r="27" customFormat="false" ht="25.5" hidden="false" customHeight="true" outlineLevel="0" collapsed="false">
      <c r="B27" s="16" t="s">
        <v>39</v>
      </c>
      <c r="C27" s="17" t="n">
        <v>51</v>
      </c>
      <c r="D27" s="18" t="n">
        <f aca="false">SUMIF('5. BOQ DETAIL'!$A:$A,"F TOTAL",'5. BOQ DETAIL'!$H:$H)</f>
        <v>150728.24</v>
      </c>
      <c r="E27" s="19" t="n">
        <f aca="false">IF($D$30=0,0,D27/$D$30)</f>
        <v>0.0840827034476252</v>
      </c>
    </row>
    <row r="28" customFormat="false" ht="25.5" hidden="false" customHeight="true" outlineLevel="0" collapsed="false">
      <c r="B28" s="16" t="s">
        <v>40</v>
      </c>
      <c r="C28" s="17" t="n">
        <v>20</v>
      </c>
      <c r="D28" s="18" t="n">
        <f aca="false">SUMIF('5. BOQ DETAIL'!$A:$A,"G TOTAL",'5. BOQ DETAIL'!$H:$H)</f>
        <v>34987.99</v>
      </c>
      <c r="E28" s="19" t="n">
        <f aca="false">IF($D$30=0,0,D28/$D$30)</f>
        <v>0.0195178075946384</v>
      </c>
    </row>
    <row r="29" customFormat="false" ht="25.5" hidden="false" customHeight="true" outlineLevel="0" collapsed="false">
      <c r="B29" s="16" t="s">
        <v>41</v>
      </c>
      <c r="C29" s="17" t="n">
        <v>8</v>
      </c>
      <c r="D29" s="18" t="n">
        <f aca="false">SUMIF('5. BOQ DETAIL'!$A:$A,"H TOTAL",'5. BOQ DETAIL'!$H:$H)</f>
        <v>30317.09</v>
      </c>
      <c r="E29" s="19" t="n">
        <f aca="false">IF($D$30=0,0,D29/$D$30)</f>
        <v>0.0169121784203475</v>
      </c>
    </row>
    <row r="30" customFormat="false" ht="15" hidden="false" customHeight="false" outlineLevel="0" collapsed="false">
      <c r="B30" s="20" t="s">
        <v>42</v>
      </c>
      <c r="C30" s="21" t="n">
        <f aca="false">SUM(C22:C29)</f>
        <v>341</v>
      </c>
      <c r="D30" s="22" t="n">
        <f aca="false">SUM(D22:D29)</f>
        <v>1792618.86</v>
      </c>
      <c r="E30" s="23" t="n">
        <v>1</v>
      </c>
    </row>
    <row r="32" customFormat="false" ht="15" hidden="false" customHeight="false" outlineLevel="0" collapsed="false">
      <c r="B32" s="24" t="s">
        <v>43</v>
      </c>
      <c r="C32" s="25" t="n">
        <f aca="false">'6. COST SUMMARY'!D19</f>
        <v>2193520.15</v>
      </c>
    </row>
    <row r="33" customFormat="false" ht="15" hidden="false" customHeight="false" outlineLevel="0" collapsed="false">
      <c r="B33" s="24" t="s">
        <v>44</v>
      </c>
      <c r="C33" s="25" t="n">
        <f aca="false">'6. COST SUMMARY'!D21</f>
        <v>2369001.76</v>
      </c>
    </row>
    <row r="34" customFormat="false" ht="15" hidden="false" customHeight="false" outlineLevel="0" collapsed="false">
      <c r="B34" s="24" t="s">
        <v>45</v>
      </c>
      <c r="C34" s="26" t="n">
        <v>24</v>
      </c>
    </row>
    <row r="35" customFormat="false" ht="15" hidden="false" customHeight="false" outlineLevel="0" collapsed="false">
      <c r="B35" s="24" t="s">
        <v>46</v>
      </c>
      <c r="C35" s="25" t="n">
        <f aca="false">'9. VALUE ENGINEERING'!E16</f>
        <v>80869.6</v>
      </c>
    </row>
    <row r="36" customFormat="false" ht="15" hidden="false" customHeight="false" outlineLevel="0" collapsed="false">
      <c r="B36" s="24" t="s">
        <v>47</v>
      </c>
      <c r="C36" s="26" t="n">
        <v>20</v>
      </c>
    </row>
  </sheetData>
  <mergeCells count="3">
    <mergeCell ref="A1:H1"/>
    <mergeCell ref="A2:H2"/>
    <mergeCell ref="B4: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18"/>
    <col collapsed="false" customWidth="true" hidden="false" outlineLevel="0" max="4" min="4" style="0" width="3"/>
  </cols>
  <sheetData>
    <row r="1" customFormat="false" ht="25.5" hidden="false" customHeight="true" outlineLevel="0" collapsed="false">
      <c r="A1" s="10" t="s">
        <v>26</v>
      </c>
      <c r="B1" s="10"/>
      <c r="C1" s="10"/>
      <c r="D1" s="10"/>
    </row>
    <row r="2" customFormat="false" ht="19.5" hidden="false" customHeight="true" outlineLevel="0" collapsed="false">
      <c r="A2" s="11" t="s">
        <v>48</v>
      </c>
      <c r="B2" s="11"/>
      <c r="C2" s="11"/>
      <c r="D2" s="11"/>
    </row>
    <row r="4" customFormat="false" ht="25.5" hidden="false" customHeight="true" outlineLevel="0" collapsed="false">
      <c r="B4" s="27" t="s">
        <v>49</v>
      </c>
      <c r="C4" s="27"/>
    </row>
    <row r="6" customFormat="false" ht="21.75" hidden="false" customHeight="true" outlineLevel="0" collapsed="false">
      <c r="B6" s="28" t="s">
        <v>50</v>
      </c>
      <c r="C6" s="28"/>
    </row>
    <row r="7" customFormat="false" ht="15" hidden="false" customHeight="true" outlineLevel="0" collapsed="false">
      <c r="B7" s="29" t="s">
        <v>51</v>
      </c>
      <c r="C7" s="30" t="s">
        <v>52</v>
      </c>
    </row>
    <row r="8" customFormat="false" ht="15" hidden="false" customHeight="true" outlineLevel="0" collapsed="false">
      <c r="B8" s="29" t="s">
        <v>51</v>
      </c>
      <c r="C8" s="30" t="s">
        <v>53</v>
      </c>
    </row>
    <row r="9" customFormat="false" ht="25.5" hidden="false" customHeight="true" outlineLevel="0" collapsed="false">
      <c r="B9" s="29" t="s">
        <v>51</v>
      </c>
      <c r="C9" s="30" t="s">
        <v>54</v>
      </c>
    </row>
    <row r="10" customFormat="false" ht="25.5" hidden="false" customHeight="true" outlineLevel="0" collapsed="false">
      <c r="B10" s="29" t="s">
        <v>51</v>
      </c>
      <c r="C10" s="30" t="s">
        <v>55</v>
      </c>
    </row>
    <row r="11" customFormat="false" ht="25.5" hidden="false" customHeight="true" outlineLevel="0" collapsed="false">
      <c r="B11" s="29" t="s">
        <v>51</v>
      </c>
      <c r="C11" s="30" t="s">
        <v>56</v>
      </c>
    </row>
    <row r="12" customFormat="false" ht="15" hidden="false" customHeight="true" outlineLevel="0" collapsed="false">
      <c r="B12" s="29" t="s">
        <v>51</v>
      </c>
      <c r="C12" s="30" t="s">
        <v>57</v>
      </c>
    </row>
    <row r="14" customFormat="false" ht="21.75" hidden="false" customHeight="true" outlineLevel="0" collapsed="false">
      <c r="B14" s="28" t="s">
        <v>58</v>
      </c>
      <c r="C14" s="28"/>
    </row>
    <row r="15" customFormat="false" ht="25.5" hidden="false" customHeight="true" outlineLevel="0" collapsed="false">
      <c r="B15" s="29" t="s">
        <v>51</v>
      </c>
      <c r="C15" s="30" t="s">
        <v>59</v>
      </c>
    </row>
    <row r="16" customFormat="false" ht="25.5" hidden="false" customHeight="true" outlineLevel="0" collapsed="false">
      <c r="B16" s="29" t="s">
        <v>51</v>
      </c>
      <c r="C16" s="30" t="s">
        <v>60</v>
      </c>
    </row>
    <row r="17" customFormat="false" ht="15" hidden="false" customHeight="true" outlineLevel="0" collapsed="false">
      <c r="B17" s="29" t="s">
        <v>51</v>
      </c>
      <c r="C17" s="30" t="s">
        <v>61</v>
      </c>
    </row>
    <row r="18" customFormat="false" ht="25.5" hidden="false" customHeight="true" outlineLevel="0" collapsed="false">
      <c r="B18" s="29" t="s">
        <v>51</v>
      </c>
      <c r="C18" s="30" t="s">
        <v>62</v>
      </c>
    </row>
    <row r="19" customFormat="false" ht="25.5" hidden="false" customHeight="true" outlineLevel="0" collapsed="false">
      <c r="B19" s="29" t="s">
        <v>51</v>
      </c>
      <c r="C19" s="30" t="s">
        <v>63</v>
      </c>
    </row>
    <row r="20" customFormat="false" ht="25.5" hidden="false" customHeight="true" outlineLevel="0" collapsed="false">
      <c r="B20" s="29" t="s">
        <v>51</v>
      </c>
      <c r="C20" s="30" t="s">
        <v>64</v>
      </c>
    </row>
    <row r="21" customFormat="false" ht="15" hidden="false" customHeight="true" outlineLevel="0" collapsed="false">
      <c r="B21" s="29" t="s">
        <v>51</v>
      </c>
      <c r="C21" s="30" t="s">
        <v>65</v>
      </c>
    </row>
    <row r="23" customFormat="false" ht="21.75" hidden="false" customHeight="true" outlineLevel="0" collapsed="false">
      <c r="B23" s="28" t="s">
        <v>66</v>
      </c>
      <c r="C23" s="28"/>
    </row>
    <row r="24" customFormat="false" ht="25.5" hidden="false" customHeight="true" outlineLevel="0" collapsed="false">
      <c r="B24" s="29" t="s">
        <v>51</v>
      </c>
      <c r="C24" s="30" t="s">
        <v>67</v>
      </c>
    </row>
    <row r="25" customFormat="false" ht="25.5" hidden="false" customHeight="true" outlineLevel="0" collapsed="false">
      <c r="B25" s="29" t="s">
        <v>51</v>
      </c>
      <c r="C25" s="30" t="s">
        <v>68</v>
      </c>
    </row>
    <row r="26" customFormat="false" ht="25.5" hidden="false" customHeight="true" outlineLevel="0" collapsed="false">
      <c r="B26" s="29" t="s">
        <v>51</v>
      </c>
      <c r="C26" s="30" t="s">
        <v>69</v>
      </c>
    </row>
    <row r="27" customFormat="false" ht="25.5" hidden="false" customHeight="true" outlineLevel="0" collapsed="false">
      <c r="B27" s="29" t="s">
        <v>51</v>
      </c>
      <c r="C27" s="30" t="s">
        <v>70</v>
      </c>
    </row>
    <row r="28" customFormat="false" ht="25.5" hidden="false" customHeight="true" outlineLevel="0" collapsed="false">
      <c r="B28" s="29" t="s">
        <v>51</v>
      </c>
      <c r="C28" s="30" t="s">
        <v>71</v>
      </c>
    </row>
    <row r="29" customFormat="false" ht="25.5" hidden="false" customHeight="true" outlineLevel="0" collapsed="false">
      <c r="B29" s="29" t="s">
        <v>51</v>
      </c>
      <c r="C29" s="30" t="s">
        <v>72</v>
      </c>
    </row>
    <row r="30" customFormat="false" ht="15" hidden="false" customHeight="true" outlineLevel="0" collapsed="false">
      <c r="B30" s="29" t="s">
        <v>51</v>
      </c>
      <c r="C30" s="30" t="s">
        <v>73</v>
      </c>
    </row>
    <row r="31" customFormat="false" ht="15" hidden="false" customHeight="true" outlineLevel="0" collapsed="false">
      <c r="B31" s="29" t="s">
        <v>51</v>
      </c>
      <c r="C31" s="30" t="s">
        <v>74</v>
      </c>
    </row>
    <row r="33" customFormat="false" ht="21.75" hidden="false" customHeight="true" outlineLevel="0" collapsed="false">
      <c r="B33" s="28" t="s">
        <v>75</v>
      </c>
      <c r="C33" s="28"/>
    </row>
    <row r="34" customFormat="false" ht="25.5" hidden="false" customHeight="true" outlineLevel="0" collapsed="false">
      <c r="B34" s="29" t="s">
        <v>51</v>
      </c>
      <c r="C34" s="30" t="s">
        <v>76</v>
      </c>
    </row>
    <row r="35" customFormat="false" ht="25.5" hidden="false" customHeight="true" outlineLevel="0" collapsed="false">
      <c r="B35" s="29" t="s">
        <v>51</v>
      </c>
      <c r="C35" s="30" t="s">
        <v>77</v>
      </c>
    </row>
    <row r="36" customFormat="false" ht="25.5" hidden="false" customHeight="true" outlineLevel="0" collapsed="false">
      <c r="B36" s="29" t="s">
        <v>51</v>
      </c>
      <c r="C36" s="30" t="s">
        <v>78</v>
      </c>
    </row>
    <row r="37" customFormat="false" ht="25.5" hidden="false" customHeight="true" outlineLevel="0" collapsed="false">
      <c r="B37" s="29" t="s">
        <v>51</v>
      </c>
      <c r="C37" s="30" t="s">
        <v>79</v>
      </c>
    </row>
    <row r="38" customFormat="false" ht="25.5" hidden="false" customHeight="true" outlineLevel="0" collapsed="false">
      <c r="B38" s="29" t="s">
        <v>51</v>
      </c>
      <c r="C38" s="30" t="s">
        <v>80</v>
      </c>
    </row>
    <row r="39" customFormat="false" ht="15" hidden="false" customHeight="true" outlineLevel="0" collapsed="false">
      <c r="B39" s="29" t="s">
        <v>51</v>
      </c>
      <c r="C39" s="30" t="s">
        <v>81</v>
      </c>
    </row>
    <row r="40" customFormat="false" ht="25.5" hidden="false" customHeight="true" outlineLevel="0" collapsed="false">
      <c r="B40" s="29" t="s">
        <v>51</v>
      </c>
      <c r="C40" s="30" t="s">
        <v>82</v>
      </c>
    </row>
    <row r="41" customFormat="false" ht="15" hidden="false" customHeight="true" outlineLevel="0" collapsed="false">
      <c r="B41" s="29" t="s">
        <v>51</v>
      </c>
      <c r="C41" s="30" t="s">
        <v>83</v>
      </c>
    </row>
    <row r="43" customFormat="false" ht="21.75" hidden="false" customHeight="true" outlineLevel="0" collapsed="false">
      <c r="B43" s="28" t="s">
        <v>84</v>
      </c>
      <c r="C43" s="28"/>
    </row>
    <row r="44" customFormat="false" ht="15" hidden="false" customHeight="true" outlineLevel="0" collapsed="false">
      <c r="B44" s="29" t="s">
        <v>51</v>
      </c>
      <c r="C44" s="30" t="s">
        <v>85</v>
      </c>
    </row>
    <row r="45" customFormat="false" ht="15" hidden="false" customHeight="true" outlineLevel="0" collapsed="false">
      <c r="B45" s="29" t="s">
        <v>51</v>
      </c>
      <c r="C45" s="30" t="s">
        <v>86</v>
      </c>
    </row>
    <row r="46" customFormat="false" ht="25.5" hidden="false" customHeight="true" outlineLevel="0" collapsed="false">
      <c r="B46" s="29" t="s">
        <v>51</v>
      </c>
      <c r="C46" s="30" t="s">
        <v>87</v>
      </c>
    </row>
    <row r="47" customFormat="false" ht="25.5" hidden="false" customHeight="true" outlineLevel="0" collapsed="false">
      <c r="B47" s="29" t="s">
        <v>51</v>
      </c>
      <c r="C47" s="30" t="s">
        <v>88</v>
      </c>
    </row>
    <row r="48" customFormat="false" ht="25.5" hidden="false" customHeight="true" outlineLevel="0" collapsed="false">
      <c r="B48" s="29" t="s">
        <v>51</v>
      </c>
      <c r="C48" s="30" t="s">
        <v>89</v>
      </c>
    </row>
    <row r="49" customFormat="false" ht="25.5" hidden="false" customHeight="true" outlineLevel="0" collapsed="false">
      <c r="B49" s="29" t="s">
        <v>51</v>
      </c>
      <c r="C49" s="30" t="s">
        <v>90</v>
      </c>
    </row>
    <row r="50" customFormat="false" ht="25.5" hidden="false" customHeight="true" outlineLevel="0" collapsed="false">
      <c r="B50" s="29" t="s">
        <v>51</v>
      </c>
      <c r="C50" s="30" t="s">
        <v>91</v>
      </c>
    </row>
    <row r="52" customFormat="false" ht="21.75" hidden="false" customHeight="true" outlineLevel="0" collapsed="false">
      <c r="B52" s="28" t="s">
        <v>92</v>
      </c>
      <c r="C52" s="28"/>
    </row>
    <row r="53" customFormat="false" ht="25.5" hidden="false" customHeight="true" outlineLevel="0" collapsed="false">
      <c r="B53" s="29" t="s">
        <v>51</v>
      </c>
      <c r="C53" s="30" t="s">
        <v>93</v>
      </c>
    </row>
    <row r="54" customFormat="false" ht="25.5" hidden="false" customHeight="true" outlineLevel="0" collapsed="false">
      <c r="B54" s="29" t="s">
        <v>51</v>
      </c>
      <c r="C54" s="30" t="s">
        <v>94</v>
      </c>
    </row>
    <row r="55" customFormat="false" ht="25.5" hidden="false" customHeight="true" outlineLevel="0" collapsed="false">
      <c r="B55" s="29" t="s">
        <v>51</v>
      </c>
      <c r="C55" s="30" t="s">
        <v>95</v>
      </c>
    </row>
    <row r="56" customFormat="false" ht="25.5" hidden="false" customHeight="true" outlineLevel="0" collapsed="false">
      <c r="B56" s="29" t="s">
        <v>51</v>
      </c>
      <c r="C56" s="30" t="s">
        <v>96</v>
      </c>
    </row>
    <row r="57" customFormat="false" ht="25.5" hidden="false" customHeight="true" outlineLevel="0" collapsed="false">
      <c r="B57" s="29" t="s">
        <v>51</v>
      </c>
      <c r="C57" s="30" t="s">
        <v>97</v>
      </c>
    </row>
    <row r="58" customFormat="false" ht="25.5" hidden="false" customHeight="true" outlineLevel="0" collapsed="false">
      <c r="B58" s="29" t="s">
        <v>51</v>
      </c>
      <c r="C58" s="30" t="s">
        <v>98</v>
      </c>
    </row>
    <row r="60" customFormat="false" ht="21.75" hidden="false" customHeight="true" outlineLevel="0" collapsed="false">
      <c r="B60" s="28" t="s">
        <v>99</v>
      </c>
      <c r="C60" s="28"/>
    </row>
    <row r="61" customFormat="false" ht="25.5" hidden="false" customHeight="true" outlineLevel="0" collapsed="false">
      <c r="B61" s="29" t="s">
        <v>51</v>
      </c>
      <c r="C61" s="30" t="s">
        <v>100</v>
      </c>
    </row>
    <row r="62" customFormat="false" ht="25.5" hidden="false" customHeight="true" outlineLevel="0" collapsed="false">
      <c r="B62" s="29" t="s">
        <v>51</v>
      </c>
      <c r="C62" s="30" t="s">
        <v>101</v>
      </c>
    </row>
    <row r="63" customFormat="false" ht="15" hidden="false" customHeight="true" outlineLevel="0" collapsed="false">
      <c r="B63" s="29" t="s">
        <v>51</v>
      </c>
      <c r="C63" s="30" t="s">
        <v>102</v>
      </c>
    </row>
    <row r="64" customFormat="false" ht="15" hidden="false" customHeight="true" outlineLevel="0" collapsed="false">
      <c r="B64" s="29" t="s">
        <v>51</v>
      </c>
      <c r="C64" s="30" t="s">
        <v>103</v>
      </c>
    </row>
    <row r="65" customFormat="false" ht="25.5" hidden="false" customHeight="true" outlineLevel="0" collapsed="false">
      <c r="B65" s="29" t="s">
        <v>51</v>
      </c>
      <c r="C65" s="30" t="s">
        <v>104</v>
      </c>
    </row>
    <row r="67" customFormat="false" ht="21.75" hidden="false" customHeight="true" outlineLevel="0" collapsed="false">
      <c r="B67" s="28" t="s">
        <v>105</v>
      </c>
      <c r="C67" s="28"/>
    </row>
    <row r="68" customFormat="false" ht="15" hidden="false" customHeight="true" outlineLevel="0" collapsed="false">
      <c r="B68" s="29" t="s">
        <v>51</v>
      </c>
      <c r="C68" s="30" t="s">
        <v>106</v>
      </c>
    </row>
    <row r="69" customFormat="false" ht="25.5" hidden="false" customHeight="true" outlineLevel="0" collapsed="false">
      <c r="B69" s="29" t="s">
        <v>51</v>
      </c>
      <c r="C69" s="30" t="s">
        <v>107</v>
      </c>
    </row>
    <row r="70" customFormat="false" ht="15" hidden="false" customHeight="true" outlineLevel="0" collapsed="false">
      <c r="B70" s="29" t="s">
        <v>51</v>
      </c>
      <c r="C70" s="30" t="s">
        <v>108</v>
      </c>
    </row>
    <row r="71" customFormat="false" ht="25.5" hidden="false" customHeight="true" outlineLevel="0" collapsed="false">
      <c r="B71" s="29" t="s">
        <v>51</v>
      </c>
      <c r="C71" s="30" t="s">
        <v>109</v>
      </c>
    </row>
  </sheetData>
  <mergeCells count="11">
    <mergeCell ref="A1:D1"/>
    <mergeCell ref="A2:D2"/>
    <mergeCell ref="B4:C4"/>
    <mergeCell ref="B6:C6"/>
    <mergeCell ref="B14:C14"/>
    <mergeCell ref="B23:C23"/>
    <mergeCell ref="B33:C33"/>
    <mergeCell ref="B43:C43"/>
    <mergeCell ref="B52:C52"/>
    <mergeCell ref="B60:C60"/>
    <mergeCell ref="B67:C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18"/>
    <col collapsed="false" customWidth="true" hidden="false" outlineLevel="0" max="4" min="4" style="0" width="3"/>
  </cols>
  <sheetData>
    <row r="1" customFormat="false" ht="25.5" hidden="false" customHeight="true" outlineLevel="0" collapsed="false">
      <c r="A1" s="10" t="s">
        <v>26</v>
      </c>
      <c r="B1" s="10"/>
      <c r="C1" s="10"/>
      <c r="D1" s="10"/>
    </row>
    <row r="2" customFormat="false" ht="19.5" hidden="false" customHeight="true" outlineLevel="0" collapsed="false">
      <c r="A2" s="11" t="s">
        <v>110</v>
      </c>
      <c r="B2" s="11"/>
      <c r="C2" s="11"/>
      <c r="D2" s="11"/>
    </row>
    <row r="4" customFormat="false" ht="21.75" hidden="false" customHeight="true" outlineLevel="0" collapsed="false">
      <c r="B4" s="28" t="s">
        <v>111</v>
      </c>
      <c r="C4" s="28"/>
    </row>
    <row r="5" customFormat="false" ht="25.5" hidden="false" customHeight="true" outlineLevel="0" collapsed="false">
      <c r="B5" s="31" t="s">
        <v>112</v>
      </c>
      <c r="C5" s="30" t="s">
        <v>113</v>
      </c>
    </row>
    <row r="6" customFormat="false" ht="25.5" hidden="false" customHeight="true" outlineLevel="0" collapsed="false">
      <c r="B6" s="31" t="s">
        <v>114</v>
      </c>
      <c r="C6" s="30" t="s">
        <v>115</v>
      </c>
    </row>
    <row r="7" customFormat="false" ht="25.5" hidden="false" customHeight="true" outlineLevel="0" collapsed="false">
      <c r="B7" s="31" t="s">
        <v>116</v>
      </c>
      <c r="C7" s="30" t="s">
        <v>117</v>
      </c>
    </row>
    <row r="8" customFormat="false" ht="25.5" hidden="false" customHeight="true" outlineLevel="0" collapsed="false">
      <c r="B8" s="31" t="s">
        <v>118</v>
      </c>
      <c r="C8" s="30" t="s">
        <v>119</v>
      </c>
    </row>
    <row r="9" customFormat="false" ht="15" hidden="false" customHeight="true" outlineLevel="0" collapsed="false">
      <c r="B9" s="31" t="s">
        <v>120</v>
      </c>
      <c r="C9" s="30" t="s">
        <v>121</v>
      </c>
    </row>
    <row r="10" customFormat="false" ht="25.5" hidden="false" customHeight="true" outlineLevel="0" collapsed="false">
      <c r="B10" s="31" t="s">
        <v>122</v>
      </c>
      <c r="C10" s="30" t="s">
        <v>123</v>
      </c>
    </row>
    <row r="11" customFormat="false" ht="25.5" hidden="false" customHeight="true" outlineLevel="0" collapsed="false">
      <c r="B11" s="31" t="s">
        <v>124</v>
      </c>
      <c r="C11" s="30" t="s">
        <v>125</v>
      </c>
    </row>
    <row r="12" customFormat="false" ht="25.5" hidden="false" customHeight="true" outlineLevel="0" collapsed="false">
      <c r="B12" s="31" t="s">
        <v>126</v>
      </c>
      <c r="C12" s="30" t="s">
        <v>127</v>
      </c>
    </row>
    <row r="13" customFormat="false" ht="15" hidden="false" customHeight="true" outlineLevel="0" collapsed="false">
      <c r="B13" s="31" t="s">
        <v>128</v>
      </c>
      <c r="C13" s="30" t="s">
        <v>129</v>
      </c>
    </row>
    <row r="14" customFormat="false" ht="25.5" hidden="false" customHeight="true" outlineLevel="0" collapsed="false">
      <c r="B14" s="31" t="s">
        <v>130</v>
      </c>
      <c r="C14" s="30" t="s">
        <v>131</v>
      </c>
    </row>
    <row r="15" customFormat="false" ht="15" hidden="false" customHeight="true" outlineLevel="0" collapsed="false">
      <c r="B15" s="31" t="s">
        <v>132</v>
      </c>
      <c r="C15" s="30" t="s">
        <v>133</v>
      </c>
    </row>
    <row r="16" customFormat="false" ht="15" hidden="false" customHeight="true" outlineLevel="0" collapsed="false">
      <c r="B16" s="31" t="s">
        <v>134</v>
      </c>
      <c r="C16" s="30" t="s">
        <v>135</v>
      </c>
    </row>
    <row r="18" customFormat="false" ht="21.75" hidden="false" customHeight="true" outlineLevel="0" collapsed="false">
      <c r="B18" s="28" t="s">
        <v>136</v>
      </c>
      <c r="C18" s="28"/>
    </row>
    <row r="19" customFormat="false" ht="39" hidden="false" customHeight="true" outlineLevel="0" collapsed="false">
      <c r="B19" s="31" t="s">
        <v>112</v>
      </c>
      <c r="C19" s="30" t="s">
        <v>137</v>
      </c>
    </row>
    <row r="20" customFormat="false" ht="25.5" hidden="false" customHeight="true" outlineLevel="0" collapsed="false">
      <c r="B20" s="31" t="s">
        <v>114</v>
      </c>
      <c r="C20" s="30" t="s">
        <v>138</v>
      </c>
    </row>
    <row r="21" customFormat="false" ht="25.5" hidden="false" customHeight="true" outlineLevel="0" collapsed="false">
      <c r="B21" s="31" t="s">
        <v>116</v>
      </c>
      <c r="C21" s="30" t="s">
        <v>139</v>
      </c>
    </row>
    <row r="22" customFormat="false" ht="25.5" hidden="false" customHeight="true" outlineLevel="0" collapsed="false">
      <c r="B22" s="31" t="s">
        <v>118</v>
      </c>
      <c r="C22" s="30" t="s">
        <v>140</v>
      </c>
    </row>
    <row r="23" customFormat="false" ht="25.5" hidden="false" customHeight="true" outlineLevel="0" collapsed="false">
      <c r="B23" s="31" t="s">
        <v>120</v>
      </c>
      <c r="C23" s="30" t="s">
        <v>141</v>
      </c>
    </row>
    <row r="24" customFormat="false" ht="25.5" hidden="false" customHeight="true" outlineLevel="0" collapsed="false">
      <c r="B24" s="31" t="s">
        <v>122</v>
      </c>
      <c r="C24" s="30" t="s">
        <v>142</v>
      </c>
    </row>
    <row r="25" customFormat="false" ht="39" hidden="false" customHeight="true" outlineLevel="0" collapsed="false">
      <c r="B25" s="31" t="s">
        <v>124</v>
      </c>
      <c r="C25" s="30" t="s">
        <v>143</v>
      </c>
    </row>
    <row r="26" customFormat="false" ht="25.5" hidden="false" customHeight="true" outlineLevel="0" collapsed="false">
      <c r="B26" s="31" t="s">
        <v>126</v>
      </c>
      <c r="C26" s="30" t="s">
        <v>144</v>
      </c>
    </row>
    <row r="27" customFormat="false" ht="25.5" hidden="false" customHeight="true" outlineLevel="0" collapsed="false">
      <c r="B27" s="31" t="s">
        <v>128</v>
      </c>
      <c r="C27" s="30" t="s">
        <v>145</v>
      </c>
    </row>
    <row r="28" customFormat="false" ht="15" hidden="false" customHeight="true" outlineLevel="0" collapsed="false">
      <c r="B28" s="31" t="s">
        <v>130</v>
      </c>
      <c r="C28" s="30" t="s">
        <v>146</v>
      </c>
    </row>
    <row r="29" customFormat="false" ht="15" hidden="false" customHeight="true" outlineLevel="0" collapsed="false">
      <c r="B29" s="31" t="s">
        <v>132</v>
      </c>
      <c r="C29" s="30" t="s">
        <v>147</v>
      </c>
    </row>
  </sheetData>
  <mergeCells count="4">
    <mergeCell ref="A1:D1"/>
    <mergeCell ref="A2:D2"/>
    <mergeCell ref="B4:C4"/>
    <mergeCell ref="B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4"/>
    <col collapsed="false" customWidth="true" hidden="false" outlineLevel="0" max="3" min="3" style="0" width="8"/>
    <col collapsed="false" customWidth="true" hidden="false" outlineLevel="0" max="4" min="4" style="0" width="11"/>
    <col collapsed="false" customWidth="true" hidden="false" outlineLevel="0" max="7" min="5" style="0" width="13"/>
    <col collapsed="false" customWidth="true" hidden="false" outlineLevel="0" max="8" min="8" style="0" width="15"/>
  </cols>
  <sheetData>
    <row r="1" customFormat="false" ht="25.5" hidden="false" customHeight="true" outlineLevel="0" collapsed="false">
      <c r="A1" s="10" t="s">
        <v>26</v>
      </c>
      <c r="B1" s="10"/>
      <c r="C1" s="10"/>
      <c r="D1" s="10"/>
      <c r="E1" s="10"/>
      <c r="F1" s="10"/>
      <c r="G1" s="10"/>
      <c r="H1" s="10"/>
    </row>
    <row r="2" customFormat="false" ht="19.5" hidden="false" customHeight="true" outlineLevel="0" collapsed="false">
      <c r="A2" s="11" t="s">
        <v>148</v>
      </c>
      <c r="B2" s="11"/>
      <c r="C2" s="11"/>
      <c r="D2" s="11"/>
      <c r="E2" s="11"/>
      <c r="F2" s="11"/>
      <c r="G2" s="11"/>
      <c r="H2" s="11"/>
    </row>
    <row r="3" customFormat="false" ht="15" hidden="false" customHeight="false" outlineLevel="0" collapsed="false">
      <c r="A3" s="32" t="s">
        <v>149</v>
      </c>
      <c r="B3" s="32"/>
      <c r="C3" s="32"/>
      <c r="D3" s="32"/>
      <c r="E3" s="32"/>
      <c r="F3" s="32"/>
      <c r="G3" s="32"/>
      <c r="H3" s="32"/>
    </row>
    <row r="5" customFormat="false" ht="30" hidden="false" customHeight="true" outlineLevel="0" collapsed="false">
      <c r="A5" s="33" t="s">
        <v>150</v>
      </c>
      <c r="B5" s="33" t="s">
        <v>151</v>
      </c>
      <c r="C5" s="33" t="s">
        <v>152</v>
      </c>
      <c r="D5" s="33" t="s">
        <v>153</v>
      </c>
      <c r="E5" s="33" t="s">
        <v>154</v>
      </c>
      <c r="F5" s="33" t="s">
        <v>155</v>
      </c>
      <c r="G5" s="33" t="s">
        <v>156</v>
      </c>
      <c r="H5" s="33" t="s">
        <v>157</v>
      </c>
    </row>
    <row r="6" customFormat="false" ht="19.5" hidden="false" customHeight="true" outlineLevel="0" collapsed="false">
      <c r="A6" s="34" t="s">
        <v>158</v>
      </c>
      <c r="B6" s="34"/>
      <c r="C6" s="34"/>
      <c r="D6" s="34"/>
      <c r="E6" s="34"/>
      <c r="F6" s="34"/>
      <c r="G6" s="34"/>
      <c r="H6" s="34"/>
    </row>
    <row r="7" customFormat="false" ht="21.75" hidden="false" customHeight="true" outlineLevel="0" collapsed="false">
      <c r="A7" s="35" t="s">
        <v>159</v>
      </c>
      <c r="B7" s="16" t="s">
        <v>160</v>
      </c>
      <c r="C7" s="17" t="s">
        <v>161</v>
      </c>
      <c r="D7" s="36" t="n">
        <v>1</v>
      </c>
      <c r="E7" s="37" t="n">
        <v>0</v>
      </c>
      <c r="F7" s="37" t="n">
        <v>46500</v>
      </c>
      <c r="G7" s="38" t="n">
        <f aca="false">E7+F7</f>
        <v>46500</v>
      </c>
      <c r="H7" s="39" t="n">
        <f aca="false">ROUND(D7*G7,2)</f>
        <v>46500</v>
      </c>
    </row>
    <row r="8" customFormat="false" ht="21.75" hidden="false" customHeight="true" outlineLevel="0" collapsed="false">
      <c r="A8" s="40" t="s">
        <v>162</v>
      </c>
      <c r="B8" s="41" t="s">
        <v>163</v>
      </c>
      <c r="C8" s="42" t="s">
        <v>161</v>
      </c>
      <c r="D8" s="43" t="n">
        <v>1</v>
      </c>
      <c r="E8" s="37" t="n">
        <v>0</v>
      </c>
      <c r="F8" s="37" t="n">
        <v>18500</v>
      </c>
      <c r="G8" s="44" t="n">
        <f aca="false">E8+F8</f>
        <v>18500</v>
      </c>
      <c r="H8" s="45" t="n">
        <f aca="false">ROUND(D8*G8,2)</f>
        <v>18500</v>
      </c>
    </row>
    <row r="9" customFormat="false" ht="21.75" hidden="false" customHeight="true" outlineLevel="0" collapsed="false">
      <c r="A9" s="35" t="s">
        <v>164</v>
      </c>
      <c r="B9" s="16" t="s">
        <v>165</v>
      </c>
      <c r="C9" s="17" t="s">
        <v>161</v>
      </c>
      <c r="D9" s="36" t="n">
        <v>1</v>
      </c>
      <c r="E9" s="37" t="n">
        <v>0</v>
      </c>
      <c r="F9" s="37" t="n">
        <v>12500</v>
      </c>
      <c r="G9" s="38" t="n">
        <f aca="false">E9+F9</f>
        <v>12500</v>
      </c>
      <c r="H9" s="39" t="n">
        <f aca="false">ROUND(D9*G9,2)</f>
        <v>12500</v>
      </c>
    </row>
    <row r="10" customFormat="false" ht="21.75" hidden="false" customHeight="true" outlineLevel="0" collapsed="false">
      <c r="A10" s="40" t="s">
        <v>166</v>
      </c>
      <c r="B10" s="41" t="s">
        <v>167</v>
      </c>
      <c r="C10" s="42" t="s">
        <v>161</v>
      </c>
      <c r="D10" s="43" t="n">
        <v>1</v>
      </c>
      <c r="E10" s="37" t="n">
        <v>0</v>
      </c>
      <c r="F10" s="37" t="n">
        <v>14000</v>
      </c>
      <c r="G10" s="44" t="n">
        <f aca="false">E10+F10</f>
        <v>14000</v>
      </c>
      <c r="H10" s="45" t="n">
        <f aca="false">ROUND(D10*G10,2)</f>
        <v>14000</v>
      </c>
    </row>
    <row r="11" customFormat="false" ht="21.75" hidden="false" customHeight="true" outlineLevel="0" collapsed="false">
      <c r="A11" s="35" t="s">
        <v>168</v>
      </c>
      <c r="B11" s="16" t="s">
        <v>169</v>
      </c>
      <c r="C11" s="17" t="s">
        <v>161</v>
      </c>
      <c r="D11" s="36" t="n">
        <v>1</v>
      </c>
      <c r="E11" s="37" t="n">
        <v>0</v>
      </c>
      <c r="F11" s="37" t="n">
        <v>16500</v>
      </c>
      <c r="G11" s="38" t="n">
        <f aca="false">E11+F11</f>
        <v>16500</v>
      </c>
      <c r="H11" s="39" t="n">
        <f aca="false">ROUND(D11*G11,2)</f>
        <v>16500</v>
      </c>
    </row>
    <row r="12" customFormat="false" ht="21.75" hidden="false" customHeight="true" outlineLevel="0" collapsed="false">
      <c r="A12" s="40" t="s">
        <v>170</v>
      </c>
      <c r="B12" s="41" t="s">
        <v>171</v>
      </c>
      <c r="C12" s="42" t="s">
        <v>161</v>
      </c>
      <c r="D12" s="43" t="n">
        <v>1</v>
      </c>
      <c r="E12" s="37" t="n">
        <v>0</v>
      </c>
      <c r="F12" s="37" t="n">
        <v>9500</v>
      </c>
      <c r="G12" s="44" t="n">
        <f aca="false">E12+F12</f>
        <v>9500</v>
      </c>
      <c r="H12" s="45" t="n">
        <f aca="false">ROUND(D12*G12,2)</f>
        <v>9500</v>
      </c>
    </row>
    <row r="13" customFormat="false" ht="21.75" hidden="false" customHeight="true" outlineLevel="0" collapsed="false">
      <c r="A13" s="35" t="s">
        <v>172</v>
      </c>
      <c r="B13" s="16" t="s">
        <v>173</v>
      </c>
      <c r="C13" s="17" t="s">
        <v>161</v>
      </c>
      <c r="D13" s="36" t="n">
        <v>1</v>
      </c>
      <c r="E13" s="37" t="n">
        <v>0</v>
      </c>
      <c r="F13" s="37" t="n">
        <v>14500</v>
      </c>
      <c r="G13" s="38" t="n">
        <f aca="false">E13+F13</f>
        <v>14500</v>
      </c>
      <c r="H13" s="39" t="n">
        <f aca="false">ROUND(D13*G13,2)</f>
        <v>14500</v>
      </c>
    </row>
    <row r="14" customFormat="false" ht="21.75" hidden="false" customHeight="true" outlineLevel="0" collapsed="false">
      <c r="A14" s="40" t="s">
        <v>174</v>
      </c>
      <c r="B14" s="41" t="s">
        <v>175</v>
      </c>
      <c r="C14" s="42" t="s">
        <v>161</v>
      </c>
      <c r="D14" s="43" t="n">
        <v>1</v>
      </c>
      <c r="E14" s="37" t="n">
        <v>0</v>
      </c>
      <c r="F14" s="37" t="n">
        <v>8500</v>
      </c>
      <c r="G14" s="44" t="n">
        <f aca="false">E14+F14</f>
        <v>8500</v>
      </c>
      <c r="H14" s="45" t="n">
        <f aca="false">ROUND(D14*G14,2)</f>
        <v>8500</v>
      </c>
    </row>
    <row r="15" customFormat="false" ht="33" hidden="false" customHeight="true" outlineLevel="0" collapsed="false">
      <c r="A15" s="35" t="s">
        <v>176</v>
      </c>
      <c r="B15" s="16" t="s">
        <v>177</v>
      </c>
      <c r="C15" s="17" t="s">
        <v>161</v>
      </c>
      <c r="D15" s="36" t="n">
        <v>1</v>
      </c>
      <c r="E15" s="37" t="n">
        <v>0</v>
      </c>
      <c r="F15" s="37" t="n">
        <v>26500</v>
      </c>
      <c r="G15" s="38" t="n">
        <f aca="false">E15+F15</f>
        <v>26500</v>
      </c>
      <c r="H15" s="39" t="n">
        <f aca="false">ROUND(D15*G15,2)</f>
        <v>26500</v>
      </c>
    </row>
    <row r="16" customFormat="false" ht="13.5" hidden="false" customHeight="true" outlineLevel="0" collapsed="false">
      <c r="A16" s="40" t="s">
        <v>178</v>
      </c>
      <c r="B16" s="41" t="s">
        <v>179</v>
      </c>
      <c r="C16" s="42" t="s">
        <v>161</v>
      </c>
      <c r="D16" s="43" t="n">
        <v>1</v>
      </c>
      <c r="E16" s="37" t="n">
        <v>0</v>
      </c>
      <c r="F16" s="37" t="n">
        <v>6500</v>
      </c>
      <c r="G16" s="44" t="n">
        <f aca="false">E16+F16</f>
        <v>6500</v>
      </c>
      <c r="H16" s="45" t="n">
        <f aca="false">ROUND(D16*G16,2)</f>
        <v>6500</v>
      </c>
    </row>
    <row r="17" customFormat="false" ht="13.5" hidden="false" customHeight="true" outlineLevel="0" collapsed="false">
      <c r="A17" s="35" t="s">
        <v>180</v>
      </c>
      <c r="B17" s="16" t="s">
        <v>181</v>
      </c>
      <c r="C17" s="17" t="s">
        <v>161</v>
      </c>
      <c r="D17" s="36" t="n">
        <v>1</v>
      </c>
      <c r="E17" s="37" t="n">
        <v>0</v>
      </c>
      <c r="F17" s="37" t="n">
        <v>7500</v>
      </c>
      <c r="G17" s="38" t="n">
        <f aca="false">E17+F17</f>
        <v>7500</v>
      </c>
      <c r="H17" s="39" t="n">
        <f aca="false">ROUND(D17*G17,2)</f>
        <v>7500</v>
      </c>
    </row>
    <row r="18" customFormat="false" ht="13.5" hidden="false" customHeight="true" outlineLevel="0" collapsed="false">
      <c r="A18" s="40" t="s">
        <v>182</v>
      </c>
      <c r="B18" s="41" t="s">
        <v>183</v>
      </c>
      <c r="C18" s="42" t="s">
        <v>161</v>
      </c>
      <c r="D18" s="43" t="n">
        <v>1</v>
      </c>
      <c r="E18" s="37" t="n">
        <v>0</v>
      </c>
      <c r="F18" s="37" t="n">
        <v>4800</v>
      </c>
      <c r="G18" s="44" t="n">
        <f aca="false">E18+F18</f>
        <v>4800</v>
      </c>
      <c r="H18" s="45" t="n">
        <f aca="false">ROUND(D18*G18,2)</f>
        <v>4800</v>
      </c>
    </row>
    <row r="19" customFormat="false" ht="13.5" hidden="false" customHeight="true" outlineLevel="0" collapsed="false">
      <c r="A19" s="35" t="s">
        <v>184</v>
      </c>
      <c r="B19" s="16" t="s">
        <v>185</v>
      </c>
      <c r="C19" s="17" t="s">
        <v>161</v>
      </c>
      <c r="D19" s="36" t="n">
        <v>1</v>
      </c>
      <c r="E19" s="37" t="n">
        <v>0</v>
      </c>
      <c r="F19" s="37" t="n">
        <v>6200</v>
      </c>
      <c r="G19" s="38" t="n">
        <f aca="false">E19+F19</f>
        <v>6200</v>
      </c>
      <c r="H19" s="39" t="n">
        <f aca="false">ROUND(D19*G19,2)</f>
        <v>6200</v>
      </c>
    </row>
    <row r="20" customFormat="false" ht="13.5" hidden="false" customHeight="true" outlineLevel="0" collapsed="false">
      <c r="A20" s="40" t="s">
        <v>186</v>
      </c>
      <c r="B20" s="41" t="s">
        <v>187</v>
      </c>
      <c r="C20" s="42" t="s">
        <v>161</v>
      </c>
      <c r="D20" s="43" t="n">
        <v>1</v>
      </c>
      <c r="E20" s="37" t="n">
        <v>0</v>
      </c>
      <c r="F20" s="37" t="n">
        <v>5800</v>
      </c>
      <c r="G20" s="44" t="n">
        <f aca="false">E20+F20</f>
        <v>5800</v>
      </c>
      <c r="H20" s="45" t="n">
        <f aca="false">ROUND(D20*G20,2)</f>
        <v>5800</v>
      </c>
    </row>
    <row r="21" customFormat="false" ht="21.75" hidden="false" customHeight="true" outlineLevel="0" collapsed="false">
      <c r="A21" s="35" t="s">
        <v>188</v>
      </c>
      <c r="B21" s="16" t="s">
        <v>189</v>
      </c>
      <c r="C21" s="17" t="s">
        <v>161</v>
      </c>
      <c r="D21" s="36" t="n">
        <v>1</v>
      </c>
      <c r="E21" s="37" t="n">
        <v>0</v>
      </c>
      <c r="F21" s="37" t="n">
        <v>8800</v>
      </c>
      <c r="G21" s="38" t="n">
        <f aca="false">E21+F21</f>
        <v>8800</v>
      </c>
      <c r="H21" s="39" t="n">
        <f aca="false">ROUND(D21*G21,2)</f>
        <v>8800</v>
      </c>
    </row>
    <row r="22" customFormat="false" ht="13.5" hidden="false" customHeight="true" outlineLevel="0" collapsed="false">
      <c r="A22" s="40" t="s">
        <v>190</v>
      </c>
      <c r="B22" s="41" t="s">
        <v>191</v>
      </c>
      <c r="C22" s="42" t="s">
        <v>161</v>
      </c>
      <c r="D22" s="43" t="n">
        <v>1</v>
      </c>
      <c r="E22" s="37" t="n">
        <v>0</v>
      </c>
      <c r="F22" s="37" t="n">
        <v>9500</v>
      </c>
      <c r="G22" s="44" t="n">
        <f aca="false">E22+F22</f>
        <v>9500</v>
      </c>
      <c r="H22" s="45" t="n">
        <f aca="false">ROUND(D22*G22,2)</f>
        <v>9500</v>
      </c>
    </row>
    <row r="23" customFormat="false" ht="13.5" hidden="false" customHeight="true" outlineLevel="0" collapsed="false">
      <c r="A23" s="35" t="s">
        <v>192</v>
      </c>
      <c r="B23" s="16" t="s">
        <v>193</v>
      </c>
      <c r="C23" s="17" t="s">
        <v>161</v>
      </c>
      <c r="D23" s="36" t="n">
        <v>1</v>
      </c>
      <c r="E23" s="37" t="n">
        <v>0</v>
      </c>
      <c r="F23" s="37" t="n">
        <v>5200</v>
      </c>
      <c r="G23" s="38" t="n">
        <f aca="false">E23+F23</f>
        <v>5200</v>
      </c>
      <c r="H23" s="39" t="n">
        <f aca="false">ROUND(D23*G23,2)</f>
        <v>5200</v>
      </c>
    </row>
    <row r="24" customFormat="false" ht="13.5" hidden="false" customHeight="true" outlineLevel="0" collapsed="false">
      <c r="A24" s="40" t="s">
        <v>194</v>
      </c>
      <c r="B24" s="41" t="s">
        <v>195</v>
      </c>
      <c r="C24" s="42" t="s">
        <v>161</v>
      </c>
      <c r="D24" s="43" t="n">
        <v>1</v>
      </c>
      <c r="E24" s="37" t="n">
        <v>0</v>
      </c>
      <c r="F24" s="37" t="n">
        <v>11500</v>
      </c>
      <c r="G24" s="44" t="n">
        <f aca="false">E24+F24</f>
        <v>11500</v>
      </c>
      <c r="H24" s="45" t="n">
        <f aca="false">ROUND(D24*G24,2)</f>
        <v>11500</v>
      </c>
    </row>
    <row r="25" customFormat="false" ht="13.5" hidden="false" customHeight="true" outlineLevel="0" collapsed="false">
      <c r="A25" s="35" t="s">
        <v>196</v>
      </c>
      <c r="B25" s="16" t="s">
        <v>197</v>
      </c>
      <c r="C25" s="17" t="s">
        <v>161</v>
      </c>
      <c r="D25" s="36" t="n">
        <v>1</v>
      </c>
      <c r="E25" s="37" t="n">
        <v>0</v>
      </c>
      <c r="F25" s="37" t="n">
        <v>7500</v>
      </c>
      <c r="G25" s="38" t="n">
        <f aca="false">E25+F25</f>
        <v>7500</v>
      </c>
      <c r="H25" s="39" t="n">
        <f aca="false">ROUND(D25*G25,2)</f>
        <v>7500</v>
      </c>
    </row>
    <row r="26" customFormat="false" ht="13.5" hidden="false" customHeight="true" outlineLevel="0" collapsed="false">
      <c r="A26" s="40" t="s">
        <v>198</v>
      </c>
      <c r="B26" s="41" t="s">
        <v>199</v>
      </c>
      <c r="C26" s="42" t="s">
        <v>161</v>
      </c>
      <c r="D26" s="43" t="n">
        <v>1</v>
      </c>
      <c r="E26" s="37" t="n">
        <v>0</v>
      </c>
      <c r="F26" s="37" t="n">
        <v>9800</v>
      </c>
      <c r="G26" s="44" t="n">
        <f aca="false">E26+F26</f>
        <v>9800</v>
      </c>
      <c r="H26" s="45" t="n">
        <f aca="false">ROUND(D26*G26,2)</f>
        <v>9800</v>
      </c>
    </row>
    <row r="27" customFormat="false" ht="13.5" hidden="false" customHeight="true" outlineLevel="0" collapsed="false">
      <c r="A27" s="35" t="s">
        <v>200</v>
      </c>
      <c r="B27" s="16" t="s">
        <v>201</v>
      </c>
      <c r="C27" s="17" t="s">
        <v>161</v>
      </c>
      <c r="D27" s="36" t="n">
        <v>1</v>
      </c>
      <c r="E27" s="37" t="n">
        <v>0</v>
      </c>
      <c r="F27" s="37" t="n">
        <v>12500</v>
      </c>
      <c r="G27" s="38" t="n">
        <f aca="false">E27+F27</f>
        <v>12500</v>
      </c>
      <c r="H27" s="39" t="n">
        <f aca="false">ROUND(D27*G27,2)</f>
        <v>12500</v>
      </c>
    </row>
    <row r="28" customFormat="false" ht="13.5" hidden="false" customHeight="true" outlineLevel="0" collapsed="false">
      <c r="A28" s="40" t="s">
        <v>202</v>
      </c>
      <c r="B28" s="41" t="s">
        <v>203</v>
      </c>
      <c r="C28" s="42" t="s">
        <v>161</v>
      </c>
      <c r="D28" s="43" t="n">
        <v>1</v>
      </c>
      <c r="E28" s="37" t="n">
        <v>0</v>
      </c>
      <c r="F28" s="37" t="n">
        <v>4200</v>
      </c>
      <c r="G28" s="44" t="n">
        <f aca="false">E28+F28</f>
        <v>4200</v>
      </c>
      <c r="H28" s="45" t="n">
        <f aca="false">ROUND(D28*G28,2)</f>
        <v>4200</v>
      </c>
    </row>
    <row r="29" customFormat="false" ht="19.5" hidden="false" customHeight="true" outlineLevel="0" collapsed="false">
      <c r="A29" s="21" t="s">
        <v>204</v>
      </c>
      <c r="B29" s="46" t="s">
        <v>205</v>
      </c>
      <c r="C29" s="46"/>
      <c r="D29" s="46"/>
      <c r="E29" s="46"/>
      <c r="F29" s="46"/>
      <c r="G29" s="46"/>
      <c r="H29" s="47" t="n">
        <f aca="false">SUM(H7:H28)</f>
        <v>266800</v>
      </c>
    </row>
    <row r="31" customFormat="false" ht="19.5" hidden="false" customHeight="true" outlineLevel="0" collapsed="false">
      <c r="A31" s="34" t="s">
        <v>206</v>
      </c>
      <c r="B31" s="34"/>
      <c r="C31" s="34"/>
      <c r="D31" s="34"/>
      <c r="E31" s="34"/>
      <c r="F31" s="34"/>
      <c r="G31" s="34"/>
      <c r="H31" s="34"/>
    </row>
    <row r="32" customFormat="false" ht="21.75" hidden="false" customHeight="true" outlineLevel="0" collapsed="false">
      <c r="A32" s="35" t="s">
        <v>207</v>
      </c>
      <c r="B32" s="16" t="s">
        <v>208</v>
      </c>
      <c r="C32" s="17" t="s">
        <v>209</v>
      </c>
      <c r="D32" s="36" t="n">
        <v>6.386016</v>
      </c>
      <c r="E32" s="37" t="n">
        <v>2350</v>
      </c>
      <c r="F32" s="37" t="n">
        <v>920</v>
      </c>
      <c r="G32" s="38" t="n">
        <f aca="false">E32+F32</f>
        <v>3270</v>
      </c>
      <c r="H32" s="39" t="n">
        <f aca="false">ROUND(D32*G32,2)</f>
        <v>20882.27</v>
      </c>
    </row>
    <row r="33" customFormat="false" ht="21.75" hidden="false" customHeight="true" outlineLevel="0" collapsed="false">
      <c r="A33" s="40" t="s">
        <v>210</v>
      </c>
      <c r="B33" s="41" t="s">
        <v>211</v>
      </c>
      <c r="C33" s="42" t="s">
        <v>209</v>
      </c>
      <c r="D33" s="43" t="n">
        <v>21.728</v>
      </c>
      <c r="E33" s="37" t="n">
        <v>2280</v>
      </c>
      <c r="F33" s="37" t="n">
        <v>880</v>
      </c>
      <c r="G33" s="44" t="n">
        <f aca="false">E33+F33</f>
        <v>3160</v>
      </c>
      <c r="H33" s="45" t="n">
        <f aca="false">ROUND(D33*G33,2)</f>
        <v>68660.48</v>
      </c>
    </row>
    <row r="34" customFormat="false" ht="21.75" hidden="false" customHeight="true" outlineLevel="0" collapsed="false">
      <c r="A34" s="35" t="s">
        <v>212</v>
      </c>
      <c r="B34" s="16" t="s">
        <v>213</v>
      </c>
      <c r="C34" s="17" t="s">
        <v>209</v>
      </c>
      <c r="D34" s="36" t="n">
        <v>5.926</v>
      </c>
      <c r="E34" s="37" t="n">
        <v>2420</v>
      </c>
      <c r="F34" s="37" t="n">
        <v>1120</v>
      </c>
      <c r="G34" s="38" t="n">
        <f aca="false">E34+F34</f>
        <v>3540</v>
      </c>
      <c r="H34" s="39" t="n">
        <f aca="false">ROUND(D34*G34,2)</f>
        <v>20978.04</v>
      </c>
    </row>
    <row r="35" customFormat="false" ht="21.75" hidden="false" customHeight="true" outlineLevel="0" collapsed="false">
      <c r="A35" s="40" t="s">
        <v>214</v>
      </c>
      <c r="B35" s="41" t="s">
        <v>215</v>
      </c>
      <c r="C35" s="42" t="s">
        <v>209</v>
      </c>
      <c r="D35" s="43" t="n">
        <v>0.994752</v>
      </c>
      <c r="E35" s="37" t="n">
        <v>2650</v>
      </c>
      <c r="F35" s="37" t="n">
        <v>1450</v>
      </c>
      <c r="G35" s="44" t="n">
        <f aca="false">E35+F35</f>
        <v>4100</v>
      </c>
      <c r="H35" s="45" t="n">
        <f aca="false">ROUND(D35*G35,2)</f>
        <v>4078.48</v>
      </c>
    </row>
    <row r="36" customFormat="false" ht="21.75" hidden="false" customHeight="true" outlineLevel="0" collapsed="false">
      <c r="A36" s="35" t="s">
        <v>216</v>
      </c>
      <c r="B36" s="16" t="s">
        <v>217</v>
      </c>
      <c r="C36" s="17" t="s">
        <v>218</v>
      </c>
      <c r="D36" s="36" t="n">
        <v>388</v>
      </c>
      <c r="E36" s="37" t="n">
        <v>4.6</v>
      </c>
      <c r="F36" s="37" t="n">
        <v>3.1</v>
      </c>
      <c r="G36" s="38" t="n">
        <f aca="false">E36+F36</f>
        <v>7.7</v>
      </c>
      <c r="H36" s="39" t="n">
        <f aca="false">ROUND(D36*G36,2)</f>
        <v>2987.6</v>
      </c>
    </row>
    <row r="37" customFormat="false" ht="21.75" hidden="false" customHeight="true" outlineLevel="0" collapsed="false">
      <c r="A37" s="40" t="s">
        <v>219</v>
      </c>
      <c r="B37" s="41" t="s">
        <v>220</v>
      </c>
      <c r="C37" s="42" t="s">
        <v>221</v>
      </c>
      <c r="D37" s="43" t="n">
        <v>159.5</v>
      </c>
      <c r="E37" s="37" t="n">
        <v>23.5</v>
      </c>
      <c r="F37" s="37" t="n">
        <v>29.5</v>
      </c>
      <c r="G37" s="44" t="n">
        <f aca="false">E37+F37</f>
        <v>53</v>
      </c>
      <c r="H37" s="45" t="n">
        <f aca="false">ROUND(D37*G37,2)</f>
        <v>8453.5</v>
      </c>
    </row>
    <row r="38" customFormat="false" ht="21.75" hidden="false" customHeight="true" outlineLevel="0" collapsed="false">
      <c r="A38" s="35" t="s">
        <v>222</v>
      </c>
      <c r="B38" s="16" t="s">
        <v>223</v>
      </c>
      <c r="C38" s="17" t="s">
        <v>221</v>
      </c>
      <c r="D38" s="36" t="n">
        <v>200.8272</v>
      </c>
      <c r="E38" s="37" t="n">
        <v>27</v>
      </c>
      <c r="F38" s="37" t="n">
        <v>25</v>
      </c>
      <c r="G38" s="38" t="n">
        <f aca="false">E38+F38</f>
        <v>52</v>
      </c>
      <c r="H38" s="39" t="n">
        <f aca="false">ROUND(D38*G38,2)</f>
        <v>10443.01</v>
      </c>
    </row>
    <row r="39" customFormat="false" ht="21.75" hidden="false" customHeight="true" outlineLevel="0" collapsed="false">
      <c r="A39" s="40" t="s">
        <v>224</v>
      </c>
      <c r="B39" s="41" t="s">
        <v>225</v>
      </c>
      <c r="C39" s="42" t="s">
        <v>221</v>
      </c>
      <c r="D39" s="43" t="n">
        <v>1127.992</v>
      </c>
      <c r="E39" s="37" t="n">
        <v>118</v>
      </c>
      <c r="F39" s="37" t="n">
        <v>44</v>
      </c>
      <c r="G39" s="44" t="n">
        <f aca="false">E39+F39</f>
        <v>162</v>
      </c>
      <c r="H39" s="45" t="n">
        <f aca="false">ROUND(D39*G39,2)</f>
        <v>182734.7</v>
      </c>
    </row>
    <row r="40" customFormat="false" ht="21.75" hidden="false" customHeight="true" outlineLevel="0" collapsed="false">
      <c r="A40" s="35" t="s">
        <v>226</v>
      </c>
      <c r="B40" s="16" t="s">
        <v>227</v>
      </c>
      <c r="C40" s="17" t="s">
        <v>228</v>
      </c>
      <c r="D40" s="36" t="n">
        <v>73.2348</v>
      </c>
      <c r="E40" s="37" t="n">
        <v>49</v>
      </c>
      <c r="F40" s="37" t="n">
        <v>23</v>
      </c>
      <c r="G40" s="38" t="n">
        <f aca="false">E40+F40</f>
        <v>72</v>
      </c>
      <c r="H40" s="39" t="n">
        <f aca="false">ROUND(D40*G40,2)</f>
        <v>5272.91</v>
      </c>
    </row>
    <row r="41" customFormat="false" ht="21.75" hidden="false" customHeight="true" outlineLevel="0" collapsed="false">
      <c r="A41" s="40" t="s">
        <v>229</v>
      </c>
      <c r="B41" s="41" t="s">
        <v>230</v>
      </c>
      <c r="C41" s="42" t="s">
        <v>221</v>
      </c>
      <c r="D41" s="43" t="n">
        <v>61.803</v>
      </c>
      <c r="E41" s="37" t="n">
        <v>28.5</v>
      </c>
      <c r="F41" s="37" t="n">
        <v>23</v>
      </c>
      <c r="G41" s="44" t="n">
        <f aca="false">E41+F41</f>
        <v>51.5</v>
      </c>
      <c r="H41" s="45" t="n">
        <f aca="false">ROUND(D41*G41,2)</f>
        <v>3182.85</v>
      </c>
    </row>
    <row r="42" customFormat="false" ht="21.75" hidden="false" customHeight="true" outlineLevel="0" collapsed="false">
      <c r="A42" s="35" t="s">
        <v>231</v>
      </c>
      <c r="B42" s="16" t="s">
        <v>232</v>
      </c>
      <c r="C42" s="17" t="s">
        <v>221</v>
      </c>
      <c r="D42" s="36" t="n">
        <v>1.2</v>
      </c>
      <c r="E42" s="37" t="n">
        <v>68</v>
      </c>
      <c r="F42" s="37" t="n">
        <v>32</v>
      </c>
      <c r="G42" s="38" t="n">
        <f aca="false">E42+F42</f>
        <v>100</v>
      </c>
      <c r="H42" s="39" t="n">
        <f aca="false">ROUND(D42*G42,2)</f>
        <v>120</v>
      </c>
    </row>
    <row r="43" customFormat="false" ht="21.75" hidden="false" customHeight="true" outlineLevel="0" collapsed="false">
      <c r="A43" s="40" t="s">
        <v>233</v>
      </c>
      <c r="B43" s="41" t="s">
        <v>234</v>
      </c>
      <c r="C43" s="42" t="s">
        <v>221</v>
      </c>
      <c r="D43" s="43" t="n">
        <v>646.3275</v>
      </c>
      <c r="E43" s="37" t="n">
        <v>59</v>
      </c>
      <c r="F43" s="37" t="n">
        <v>39</v>
      </c>
      <c r="G43" s="44" t="n">
        <f aca="false">E43+F43</f>
        <v>98</v>
      </c>
      <c r="H43" s="45" t="n">
        <f aca="false">ROUND(D43*G43,2)</f>
        <v>63340.1</v>
      </c>
    </row>
    <row r="44" customFormat="false" ht="21.75" hidden="false" customHeight="true" outlineLevel="0" collapsed="false">
      <c r="A44" s="35" t="s">
        <v>235</v>
      </c>
      <c r="B44" s="16" t="s">
        <v>236</v>
      </c>
      <c r="C44" s="17" t="s">
        <v>221</v>
      </c>
      <c r="D44" s="36" t="n">
        <v>119.4165</v>
      </c>
      <c r="E44" s="37" t="n">
        <v>33</v>
      </c>
      <c r="F44" s="37" t="n">
        <v>22</v>
      </c>
      <c r="G44" s="38" t="n">
        <f aca="false">E44+F44</f>
        <v>55</v>
      </c>
      <c r="H44" s="39" t="n">
        <f aca="false">ROUND(D44*G44,2)</f>
        <v>6567.91</v>
      </c>
    </row>
    <row r="45" customFormat="false" ht="21.75" hidden="false" customHeight="true" outlineLevel="0" collapsed="false">
      <c r="A45" s="40" t="s">
        <v>237</v>
      </c>
      <c r="B45" s="41" t="s">
        <v>238</v>
      </c>
      <c r="C45" s="42" t="s">
        <v>161</v>
      </c>
      <c r="D45" s="43" t="n">
        <v>1</v>
      </c>
      <c r="E45" s="37" t="n">
        <v>4500</v>
      </c>
      <c r="F45" s="37" t="n">
        <v>0</v>
      </c>
      <c r="G45" s="44" t="n">
        <f aca="false">E45+F45</f>
        <v>4500</v>
      </c>
      <c r="H45" s="45" t="n">
        <f aca="false">ROUND(D45*G45,2)</f>
        <v>4500</v>
      </c>
    </row>
    <row r="46" customFormat="false" ht="21.75" hidden="false" customHeight="true" outlineLevel="0" collapsed="false">
      <c r="A46" s="35" t="s">
        <v>239</v>
      </c>
      <c r="B46" s="16" t="s">
        <v>240</v>
      </c>
      <c r="C46" s="17" t="s">
        <v>221</v>
      </c>
      <c r="D46" s="36" t="n">
        <v>805.6545</v>
      </c>
      <c r="E46" s="37" t="n">
        <v>98</v>
      </c>
      <c r="F46" s="37" t="n">
        <v>42</v>
      </c>
      <c r="G46" s="38" t="n">
        <f aca="false">E46+F46</f>
        <v>140</v>
      </c>
      <c r="H46" s="39" t="n">
        <f aca="false">ROUND(D46*G46,2)</f>
        <v>112791.63</v>
      </c>
    </row>
    <row r="47" customFormat="false" ht="21.75" hidden="false" customHeight="true" outlineLevel="0" collapsed="false">
      <c r="A47" s="40" t="s">
        <v>241</v>
      </c>
      <c r="B47" s="41" t="s">
        <v>242</v>
      </c>
      <c r="C47" s="42" t="s">
        <v>221</v>
      </c>
      <c r="D47" s="43" t="n">
        <v>61.803</v>
      </c>
      <c r="E47" s="37" t="n">
        <v>35</v>
      </c>
      <c r="F47" s="37" t="n">
        <v>19</v>
      </c>
      <c r="G47" s="44" t="n">
        <f aca="false">E47+F47</f>
        <v>54</v>
      </c>
      <c r="H47" s="45" t="n">
        <f aca="false">ROUND(D47*G47,2)</f>
        <v>3337.36</v>
      </c>
    </row>
    <row r="48" customFormat="false" ht="21.75" hidden="false" customHeight="true" outlineLevel="0" collapsed="false">
      <c r="A48" s="35" t="s">
        <v>243</v>
      </c>
      <c r="B48" s="16" t="s">
        <v>244</v>
      </c>
      <c r="C48" s="17" t="s">
        <v>161</v>
      </c>
      <c r="D48" s="36" t="n">
        <v>1</v>
      </c>
      <c r="E48" s="37" t="n">
        <v>3200</v>
      </c>
      <c r="F48" s="37" t="n">
        <v>0</v>
      </c>
      <c r="G48" s="38" t="n">
        <f aca="false">E48+F48</f>
        <v>3200</v>
      </c>
      <c r="H48" s="39" t="n">
        <f aca="false">ROUND(D48*G48,2)</f>
        <v>3200</v>
      </c>
    </row>
    <row r="49" customFormat="false" ht="21.75" hidden="false" customHeight="true" outlineLevel="0" collapsed="false">
      <c r="A49" s="40" t="s">
        <v>245</v>
      </c>
      <c r="B49" s="41" t="s">
        <v>246</v>
      </c>
      <c r="C49" s="42" t="s">
        <v>247</v>
      </c>
      <c r="D49" s="43" t="n">
        <v>6</v>
      </c>
      <c r="E49" s="37" t="n">
        <v>2850</v>
      </c>
      <c r="F49" s="37" t="n">
        <v>460</v>
      </c>
      <c r="G49" s="44" t="n">
        <f aca="false">E49+F49</f>
        <v>3310</v>
      </c>
      <c r="H49" s="45" t="n">
        <f aca="false">ROUND(D49*G49,2)</f>
        <v>19860</v>
      </c>
    </row>
    <row r="50" customFormat="false" ht="21.75" hidden="false" customHeight="true" outlineLevel="0" collapsed="false">
      <c r="A50" s="35" t="s">
        <v>248</v>
      </c>
      <c r="B50" s="16" t="s">
        <v>249</v>
      </c>
      <c r="C50" s="17" t="s">
        <v>247</v>
      </c>
      <c r="D50" s="36" t="n">
        <v>3</v>
      </c>
      <c r="E50" s="37" t="n">
        <v>3600</v>
      </c>
      <c r="F50" s="37" t="n">
        <v>560</v>
      </c>
      <c r="G50" s="38" t="n">
        <f aca="false">E50+F50</f>
        <v>4160</v>
      </c>
      <c r="H50" s="39" t="n">
        <f aca="false">ROUND(D50*G50,2)</f>
        <v>12480</v>
      </c>
    </row>
    <row r="51" customFormat="false" ht="21.75" hidden="false" customHeight="true" outlineLevel="0" collapsed="false">
      <c r="A51" s="40" t="s">
        <v>250</v>
      </c>
      <c r="B51" s="41" t="s">
        <v>251</v>
      </c>
      <c r="C51" s="42" t="s">
        <v>247</v>
      </c>
      <c r="D51" s="43" t="n">
        <v>3</v>
      </c>
      <c r="E51" s="37" t="n">
        <v>1750</v>
      </c>
      <c r="F51" s="37" t="n">
        <v>360</v>
      </c>
      <c r="G51" s="44" t="n">
        <f aca="false">E51+F51</f>
        <v>2110</v>
      </c>
      <c r="H51" s="45" t="n">
        <f aca="false">ROUND(D51*G51,2)</f>
        <v>6330</v>
      </c>
    </row>
    <row r="52" customFormat="false" ht="21.75" hidden="false" customHeight="true" outlineLevel="0" collapsed="false">
      <c r="A52" s="35" t="s">
        <v>252</v>
      </c>
      <c r="B52" s="16" t="s">
        <v>253</v>
      </c>
      <c r="C52" s="17" t="s">
        <v>247</v>
      </c>
      <c r="D52" s="36" t="n">
        <v>3</v>
      </c>
      <c r="E52" s="37" t="n">
        <v>630</v>
      </c>
      <c r="F52" s="37" t="n">
        <v>185</v>
      </c>
      <c r="G52" s="38" t="n">
        <f aca="false">E52+F52</f>
        <v>815</v>
      </c>
      <c r="H52" s="39" t="n">
        <f aca="false">ROUND(D52*G52,2)</f>
        <v>2445</v>
      </c>
    </row>
    <row r="53" customFormat="false" ht="21.75" hidden="false" customHeight="true" outlineLevel="0" collapsed="false">
      <c r="A53" s="40" t="s">
        <v>254</v>
      </c>
      <c r="B53" s="41" t="s">
        <v>255</v>
      </c>
      <c r="C53" s="42" t="s">
        <v>247</v>
      </c>
      <c r="D53" s="43" t="n">
        <v>1</v>
      </c>
      <c r="E53" s="37" t="n">
        <v>570</v>
      </c>
      <c r="F53" s="37" t="n">
        <v>175</v>
      </c>
      <c r="G53" s="44" t="n">
        <f aca="false">E53+F53</f>
        <v>745</v>
      </c>
      <c r="H53" s="45" t="n">
        <f aca="false">ROUND(D53*G53,2)</f>
        <v>745</v>
      </c>
    </row>
    <row r="54" customFormat="false" ht="21.75" hidden="false" customHeight="true" outlineLevel="0" collapsed="false">
      <c r="A54" s="35" t="s">
        <v>256</v>
      </c>
      <c r="B54" s="16" t="s">
        <v>257</v>
      </c>
      <c r="C54" s="17" t="s">
        <v>247</v>
      </c>
      <c r="D54" s="36" t="n">
        <v>3</v>
      </c>
      <c r="E54" s="37" t="n">
        <v>790</v>
      </c>
      <c r="F54" s="37" t="n">
        <v>225</v>
      </c>
      <c r="G54" s="38" t="n">
        <f aca="false">E54+F54</f>
        <v>1015</v>
      </c>
      <c r="H54" s="39" t="n">
        <f aca="false">ROUND(D54*G54,2)</f>
        <v>3045</v>
      </c>
    </row>
    <row r="55" customFormat="false" ht="21.75" hidden="false" customHeight="true" outlineLevel="0" collapsed="false">
      <c r="A55" s="40" t="s">
        <v>258</v>
      </c>
      <c r="B55" s="41" t="s">
        <v>259</v>
      </c>
      <c r="C55" s="42" t="s">
        <v>247</v>
      </c>
      <c r="D55" s="43" t="n">
        <v>1</v>
      </c>
      <c r="E55" s="37" t="n">
        <v>490</v>
      </c>
      <c r="F55" s="37" t="n">
        <v>165</v>
      </c>
      <c r="G55" s="44" t="n">
        <f aca="false">E55+F55</f>
        <v>655</v>
      </c>
      <c r="H55" s="45" t="n">
        <f aca="false">ROUND(D55*G55,2)</f>
        <v>655</v>
      </c>
    </row>
    <row r="56" customFormat="false" ht="21.75" hidden="false" customHeight="true" outlineLevel="0" collapsed="false">
      <c r="A56" s="35" t="s">
        <v>260</v>
      </c>
      <c r="B56" s="16" t="s">
        <v>261</v>
      </c>
      <c r="C56" s="17" t="s">
        <v>218</v>
      </c>
      <c r="D56" s="36" t="n">
        <v>1</v>
      </c>
      <c r="E56" s="37" t="n">
        <v>1480</v>
      </c>
      <c r="F56" s="37" t="n">
        <v>390</v>
      </c>
      <c r="G56" s="38" t="n">
        <f aca="false">E56+F56</f>
        <v>1870</v>
      </c>
      <c r="H56" s="39" t="n">
        <f aca="false">ROUND(D56*G56,2)</f>
        <v>1870</v>
      </c>
    </row>
    <row r="57" customFormat="false" ht="21.75" hidden="false" customHeight="true" outlineLevel="0" collapsed="false">
      <c r="A57" s="40" t="s">
        <v>262</v>
      </c>
      <c r="B57" s="41" t="s">
        <v>263</v>
      </c>
      <c r="C57" s="42" t="s">
        <v>218</v>
      </c>
      <c r="D57" s="43" t="n">
        <v>1</v>
      </c>
      <c r="E57" s="37" t="n">
        <v>640</v>
      </c>
      <c r="F57" s="37" t="n">
        <v>190</v>
      </c>
      <c r="G57" s="44" t="n">
        <f aca="false">E57+F57</f>
        <v>830</v>
      </c>
      <c r="H57" s="45" t="n">
        <f aca="false">ROUND(D57*G57,2)</f>
        <v>830</v>
      </c>
    </row>
    <row r="58" customFormat="false" ht="13.5" hidden="false" customHeight="true" outlineLevel="0" collapsed="false">
      <c r="A58" s="35" t="s">
        <v>264</v>
      </c>
      <c r="B58" s="16" t="s">
        <v>265</v>
      </c>
      <c r="C58" s="17" t="s">
        <v>221</v>
      </c>
      <c r="D58" s="36" t="n">
        <v>33.912</v>
      </c>
      <c r="E58" s="37" t="n">
        <v>148</v>
      </c>
      <c r="F58" s="37" t="n">
        <v>46</v>
      </c>
      <c r="G58" s="38" t="n">
        <f aca="false">E58+F58</f>
        <v>194</v>
      </c>
      <c r="H58" s="39" t="n">
        <f aca="false">ROUND(D58*G58,2)</f>
        <v>6578.93</v>
      </c>
    </row>
    <row r="59" customFormat="false" ht="13.5" hidden="false" customHeight="true" outlineLevel="0" collapsed="false">
      <c r="A59" s="40" t="s">
        <v>266</v>
      </c>
      <c r="B59" s="41" t="s">
        <v>267</v>
      </c>
      <c r="C59" s="42" t="s">
        <v>218</v>
      </c>
      <c r="D59" s="43" t="n">
        <v>1</v>
      </c>
      <c r="E59" s="37" t="n">
        <v>330</v>
      </c>
      <c r="F59" s="37" t="n">
        <v>95</v>
      </c>
      <c r="G59" s="44" t="n">
        <f aca="false">E59+F59</f>
        <v>425</v>
      </c>
      <c r="H59" s="45" t="n">
        <f aca="false">ROUND(D59*G59,2)</f>
        <v>425</v>
      </c>
    </row>
    <row r="60" customFormat="false" ht="13.5" hidden="false" customHeight="true" outlineLevel="0" collapsed="false">
      <c r="A60" s="35" t="s">
        <v>268</v>
      </c>
      <c r="B60" s="16" t="s">
        <v>269</v>
      </c>
      <c r="C60" s="17" t="s">
        <v>247</v>
      </c>
      <c r="D60" s="36" t="n">
        <v>6</v>
      </c>
      <c r="E60" s="37" t="n">
        <v>23</v>
      </c>
      <c r="F60" s="37" t="n">
        <v>9</v>
      </c>
      <c r="G60" s="38" t="n">
        <f aca="false">E60+F60</f>
        <v>32</v>
      </c>
      <c r="H60" s="39" t="n">
        <f aca="false">ROUND(D60*G60,2)</f>
        <v>192</v>
      </c>
    </row>
    <row r="61" customFormat="false" ht="21.75" hidden="false" customHeight="true" outlineLevel="0" collapsed="false">
      <c r="A61" s="40" t="s">
        <v>270</v>
      </c>
      <c r="B61" s="41" t="s">
        <v>271</v>
      </c>
      <c r="C61" s="42" t="s">
        <v>247</v>
      </c>
      <c r="D61" s="43" t="n">
        <v>6</v>
      </c>
      <c r="E61" s="37" t="n">
        <v>39</v>
      </c>
      <c r="F61" s="37" t="n">
        <v>11</v>
      </c>
      <c r="G61" s="44" t="n">
        <f aca="false">E61+F61</f>
        <v>50</v>
      </c>
      <c r="H61" s="45" t="n">
        <f aca="false">ROUND(D61*G61,2)</f>
        <v>300</v>
      </c>
    </row>
    <row r="62" customFormat="false" ht="21.75" hidden="false" customHeight="true" outlineLevel="0" collapsed="false">
      <c r="A62" s="35" t="s">
        <v>272</v>
      </c>
      <c r="B62" s="16" t="s">
        <v>273</v>
      </c>
      <c r="C62" s="17" t="s">
        <v>161</v>
      </c>
      <c r="D62" s="36" t="n">
        <v>1</v>
      </c>
      <c r="E62" s="37" t="n">
        <v>0</v>
      </c>
      <c r="F62" s="37" t="n">
        <v>29500</v>
      </c>
      <c r="G62" s="38" t="n">
        <f aca="false">E62+F62</f>
        <v>29500</v>
      </c>
      <c r="H62" s="39" t="n">
        <f aca="false">ROUND(D62*G62,2)</f>
        <v>29500</v>
      </c>
    </row>
    <row r="63" customFormat="false" ht="19.5" hidden="false" customHeight="true" outlineLevel="0" collapsed="false">
      <c r="A63" s="21" t="s">
        <v>274</v>
      </c>
      <c r="B63" s="46" t="s">
        <v>275</v>
      </c>
      <c r="C63" s="46"/>
      <c r="D63" s="46"/>
      <c r="E63" s="46"/>
      <c r="F63" s="46"/>
      <c r="G63" s="46"/>
      <c r="H63" s="47" t="n">
        <f aca="false">SUM(H32:H62)</f>
        <v>606786.77</v>
      </c>
    </row>
    <row r="65" customFormat="false" ht="19.5" hidden="false" customHeight="true" outlineLevel="0" collapsed="false">
      <c r="A65" s="34" t="s">
        <v>276</v>
      </c>
      <c r="B65" s="34"/>
      <c r="C65" s="34"/>
      <c r="D65" s="34"/>
      <c r="E65" s="34"/>
      <c r="F65" s="34"/>
      <c r="G65" s="34"/>
      <c r="H65" s="34"/>
    </row>
    <row r="66" customFormat="false" ht="21.75" hidden="false" customHeight="true" outlineLevel="0" collapsed="false">
      <c r="A66" s="35" t="s">
        <v>277</v>
      </c>
      <c r="B66" s="16" t="s">
        <v>278</v>
      </c>
      <c r="C66" s="17" t="s">
        <v>218</v>
      </c>
      <c r="D66" s="36" t="n">
        <v>12</v>
      </c>
      <c r="E66" s="37" t="n">
        <v>1180</v>
      </c>
      <c r="F66" s="37" t="n">
        <v>270</v>
      </c>
      <c r="G66" s="38" t="n">
        <f aca="false">E66+F66</f>
        <v>1450</v>
      </c>
      <c r="H66" s="39" t="n">
        <f aca="false">ROUND(D66*G66,2)</f>
        <v>17400</v>
      </c>
    </row>
    <row r="67" customFormat="false" ht="21.75" hidden="false" customHeight="true" outlineLevel="0" collapsed="false">
      <c r="A67" s="40" t="s">
        <v>279</v>
      </c>
      <c r="B67" s="41" t="s">
        <v>280</v>
      </c>
      <c r="C67" s="42" t="s">
        <v>218</v>
      </c>
      <c r="D67" s="43" t="n">
        <v>1</v>
      </c>
      <c r="E67" s="37" t="n">
        <v>1420</v>
      </c>
      <c r="F67" s="37" t="n">
        <v>295</v>
      </c>
      <c r="G67" s="44" t="n">
        <f aca="false">E67+F67</f>
        <v>1715</v>
      </c>
      <c r="H67" s="45" t="n">
        <f aca="false">ROUND(D67*G67,2)</f>
        <v>1715</v>
      </c>
    </row>
    <row r="68" customFormat="false" ht="21.75" hidden="false" customHeight="true" outlineLevel="0" collapsed="false">
      <c r="A68" s="35" t="s">
        <v>281</v>
      </c>
      <c r="B68" s="16" t="s">
        <v>282</v>
      </c>
      <c r="C68" s="17" t="s">
        <v>218</v>
      </c>
      <c r="D68" s="36" t="n">
        <v>1</v>
      </c>
      <c r="E68" s="37" t="n">
        <v>985</v>
      </c>
      <c r="F68" s="37" t="n">
        <v>225</v>
      </c>
      <c r="G68" s="38" t="n">
        <f aca="false">E68+F68</f>
        <v>1210</v>
      </c>
      <c r="H68" s="39" t="n">
        <f aca="false">ROUND(D68*G68,2)</f>
        <v>1210</v>
      </c>
    </row>
    <row r="69" customFormat="false" ht="21.75" hidden="false" customHeight="true" outlineLevel="0" collapsed="false">
      <c r="A69" s="40" t="s">
        <v>283</v>
      </c>
      <c r="B69" s="41" t="s">
        <v>284</v>
      </c>
      <c r="C69" s="42" t="s">
        <v>218</v>
      </c>
      <c r="D69" s="43" t="n">
        <v>1</v>
      </c>
      <c r="E69" s="37" t="n">
        <v>36500</v>
      </c>
      <c r="F69" s="37" t="n">
        <v>4300</v>
      </c>
      <c r="G69" s="44" t="n">
        <f aca="false">E69+F69</f>
        <v>40800</v>
      </c>
      <c r="H69" s="45" t="n">
        <f aca="false">ROUND(D69*G69,2)</f>
        <v>40800</v>
      </c>
    </row>
    <row r="70" customFormat="false" ht="13.5" hidden="false" customHeight="true" outlineLevel="0" collapsed="false">
      <c r="A70" s="35" t="s">
        <v>285</v>
      </c>
      <c r="B70" s="16" t="s">
        <v>286</v>
      </c>
      <c r="C70" s="17" t="s">
        <v>247</v>
      </c>
      <c r="D70" s="36" t="n">
        <v>14</v>
      </c>
      <c r="E70" s="37" t="n">
        <v>148</v>
      </c>
      <c r="F70" s="37" t="n">
        <v>46</v>
      </c>
      <c r="G70" s="38" t="n">
        <f aca="false">E70+F70</f>
        <v>194</v>
      </c>
      <c r="H70" s="39" t="n">
        <f aca="false">ROUND(D70*G70,2)</f>
        <v>2716</v>
      </c>
    </row>
    <row r="71" customFormat="false" ht="13.5" hidden="false" customHeight="true" outlineLevel="0" collapsed="false">
      <c r="A71" s="40" t="s">
        <v>287</v>
      </c>
      <c r="B71" s="41" t="s">
        <v>288</v>
      </c>
      <c r="C71" s="42" t="s">
        <v>247</v>
      </c>
      <c r="D71" s="43" t="n">
        <v>5</v>
      </c>
      <c r="E71" s="37" t="n">
        <v>168</v>
      </c>
      <c r="F71" s="37" t="n">
        <v>56</v>
      </c>
      <c r="G71" s="44" t="n">
        <f aca="false">E71+F71</f>
        <v>224</v>
      </c>
      <c r="H71" s="45" t="n">
        <f aca="false">ROUND(D71*G71,2)</f>
        <v>1120</v>
      </c>
    </row>
    <row r="72" customFormat="false" ht="13.5" hidden="false" customHeight="true" outlineLevel="0" collapsed="false">
      <c r="A72" s="35" t="s">
        <v>289</v>
      </c>
      <c r="B72" s="16" t="s">
        <v>290</v>
      </c>
      <c r="C72" s="17" t="s">
        <v>247</v>
      </c>
      <c r="D72" s="36" t="n">
        <v>2</v>
      </c>
      <c r="E72" s="37" t="n">
        <v>218</v>
      </c>
      <c r="F72" s="37" t="n">
        <v>66</v>
      </c>
      <c r="G72" s="38" t="n">
        <f aca="false">E72+F72</f>
        <v>284</v>
      </c>
      <c r="H72" s="39" t="n">
        <f aca="false">ROUND(D72*G72,2)</f>
        <v>568</v>
      </c>
    </row>
    <row r="73" customFormat="false" ht="13.5" hidden="false" customHeight="true" outlineLevel="0" collapsed="false">
      <c r="A73" s="40" t="s">
        <v>291</v>
      </c>
      <c r="B73" s="41" t="s">
        <v>292</v>
      </c>
      <c r="C73" s="42" t="s">
        <v>247</v>
      </c>
      <c r="D73" s="43" t="n">
        <v>4</v>
      </c>
      <c r="E73" s="37" t="n">
        <v>288</v>
      </c>
      <c r="F73" s="37" t="n">
        <v>76</v>
      </c>
      <c r="G73" s="44" t="n">
        <f aca="false">E73+F73</f>
        <v>364</v>
      </c>
      <c r="H73" s="45" t="n">
        <f aca="false">ROUND(D73*G73,2)</f>
        <v>1456</v>
      </c>
    </row>
    <row r="74" customFormat="false" ht="13.5" hidden="false" customHeight="true" outlineLevel="0" collapsed="false">
      <c r="A74" s="35" t="s">
        <v>293</v>
      </c>
      <c r="B74" s="16" t="s">
        <v>294</v>
      </c>
      <c r="C74" s="17" t="s">
        <v>247</v>
      </c>
      <c r="D74" s="36" t="n">
        <v>2</v>
      </c>
      <c r="E74" s="37" t="n">
        <v>345</v>
      </c>
      <c r="F74" s="37" t="n">
        <v>86</v>
      </c>
      <c r="G74" s="38" t="n">
        <f aca="false">E74+F74</f>
        <v>431</v>
      </c>
      <c r="H74" s="39" t="n">
        <f aca="false">ROUND(D74*G74,2)</f>
        <v>862</v>
      </c>
    </row>
    <row r="75" customFormat="false" ht="13.5" hidden="false" customHeight="true" outlineLevel="0" collapsed="false">
      <c r="A75" s="40" t="s">
        <v>295</v>
      </c>
      <c r="B75" s="41" t="s">
        <v>296</v>
      </c>
      <c r="C75" s="42" t="s">
        <v>247</v>
      </c>
      <c r="D75" s="43" t="n">
        <v>12</v>
      </c>
      <c r="E75" s="37" t="n">
        <v>63</v>
      </c>
      <c r="F75" s="37" t="n">
        <v>29</v>
      </c>
      <c r="G75" s="44" t="n">
        <f aca="false">E75+F75</f>
        <v>92</v>
      </c>
      <c r="H75" s="45" t="n">
        <f aca="false">ROUND(D75*G75,2)</f>
        <v>1104</v>
      </c>
    </row>
    <row r="76" customFormat="false" ht="13.5" hidden="false" customHeight="true" outlineLevel="0" collapsed="false">
      <c r="A76" s="35" t="s">
        <v>297</v>
      </c>
      <c r="B76" s="16" t="s">
        <v>298</v>
      </c>
      <c r="C76" s="17" t="s">
        <v>247</v>
      </c>
      <c r="D76" s="36" t="n">
        <v>7</v>
      </c>
      <c r="E76" s="37" t="n">
        <v>96</v>
      </c>
      <c r="F76" s="37" t="n">
        <v>36</v>
      </c>
      <c r="G76" s="38" t="n">
        <f aca="false">E76+F76</f>
        <v>132</v>
      </c>
      <c r="H76" s="39" t="n">
        <f aca="false">ROUND(D76*G76,2)</f>
        <v>924</v>
      </c>
    </row>
    <row r="77" customFormat="false" ht="13.5" hidden="false" customHeight="true" outlineLevel="0" collapsed="false">
      <c r="A77" s="40" t="s">
        <v>299</v>
      </c>
      <c r="B77" s="41" t="s">
        <v>300</v>
      </c>
      <c r="C77" s="42" t="s">
        <v>247</v>
      </c>
      <c r="D77" s="43" t="n">
        <v>13</v>
      </c>
      <c r="E77" s="37" t="n">
        <v>79</v>
      </c>
      <c r="F77" s="37" t="n">
        <v>31</v>
      </c>
      <c r="G77" s="44" t="n">
        <f aca="false">E77+F77</f>
        <v>110</v>
      </c>
      <c r="H77" s="45" t="n">
        <f aca="false">ROUND(D77*G77,2)</f>
        <v>1430</v>
      </c>
    </row>
    <row r="78" customFormat="false" ht="21.75" hidden="false" customHeight="true" outlineLevel="0" collapsed="false">
      <c r="A78" s="35" t="s">
        <v>301</v>
      </c>
      <c r="B78" s="16" t="s">
        <v>302</v>
      </c>
      <c r="C78" s="17" t="s">
        <v>221</v>
      </c>
      <c r="D78" s="36" t="n">
        <v>362.8576</v>
      </c>
      <c r="E78" s="37" t="n">
        <v>34</v>
      </c>
      <c r="F78" s="37" t="n">
        <v>26</v>
      </c>
      <c r="G78" s="38" t="n">
        <f aca="false">E78+F78</f>
        <v>60</v>
      </c>
      <c r="H78" s="39" t="n">
        <f aca="false">ROUND(D78*G78,2)</f>
        <v>21771.46</v>
      </c>
    </row>
    <row r="79" customFormat="false" ht="21.75" hidden="false" customHeight="true" outlineLevel="0" collapsed="false">
      <c r="A79" s="40" t="s">
        <v>303</v>
      </c>
      <c r="B79" s="41" t="s">
        <v>304</v>
      </c>
      <c r="C79" s="42" t="s">
        <v>305</v>
      </c>
      <c r="D79" s="43" t="n">
        <v>10.7296</v>
      </c>
      <c r="E79" s="37" t="n">
        <v>325</v>
      </c>
      <c r="F79" s="37" t="n">
        <v>185</v>
      </c>
      <c r="G79" s="44" t="n">
        <f aca="false">E79+F79</f>
        <v>510</v>
      </c>
      <c r="H79" s="45" t="n">
        <f aca="false">ROUND(D79*G79,2)</f>
        <v>5472.1</v>
      </c>
    </row>
    <row r="80" customFormat="false" ht="21.75" hidden="false" customHeight="true" outlineLevel="0" collapsed="false">
      <c r="A80" s="35" t="s">
        <v>306</v>
      </c>
      <c r="B80" s="16" t="s">
        <v>307</v>
      </c>
      <c r="C80" s="17" t="s">
        <v>228</v>
      </c>
      <c r="D80" s="36" t="n">
        <v>75.152</v>
      </c>
      <c r="E80" s="37" t="n">
        <v>9.6</v>
      </c>
      <c r="F80" s="37" t="n">
        <v>6.6</v>
      </c>
      <c r="G80" s="38" t="n">
        <f aca="false">E80+F80</f>
        <v>16.2</v>
      </c>
      <c r="H80" s="39" t="n">
        <f aca="false">ROUND(D80*G80,2)</f>
        <v>1217.46</v>
      </c>
    </row>
    <row r="81" customFormat="false" ht="21.75" hidden="false" customHeight="true" outlineLevel="0" collapsed="false">
      <c r="A81" s="40" t="s">
        <v>308</v>
      </c>
      <c r="B81" s="41" t="s">
        <v>309</v>
      </c>
      <c r="C81" s="42" t="s">
        <v>228</v>
      </c>
      <c r="D81" s="43" t="n">
        <v>10.64</v>
      </c>
      <c r="E81" s="37" t="n">
        <v>12.6</v>
      </c>
      <c r="F81" s="37" t="n">
        <v>7.1</v>
      </c>
      <c r="G81" s="44" t="n">
        <f aca="false">E81+F81</f>
        <v>19.7</v>
      </c>
      <c r="H81" s="45" t="n">
        <f aca="false">ROUND(D81*G81,2)</f>
        <v>209.61</v>
      </c>
    </row>
    <row r="82" customFormat="false" ht="21.75" hidden="false" customHeight="true" outlineLevel="0" collapsed="false">
      <c r="A82" s="35" t="s">
        <v>310</v>
      </c>
      <c r="B82" s="16" t="s">
        <v>311</v>
      </c>
      <c r="C82" s="17" t="s">
        <v>228</v>
      </c>
      <c r="D82" s="36" t="n">
        <v>71.8928</v>
      </c>
      <c r="E82" s="37" t="n">
        <v>16.2</v>
      </c>
      <c r="F82" s="37" t="n">
        <v>7.6</v>
      </c>
      <c r="G82" s="38" t="n">
        <f aca="false">E82+F82</f>
        <v>23.8</v>
      </c>
      <c r="H82" s="39" t="n">
        <f aca="false">ROUND(D82*G82,2)</f>
        <v>1711.05</v>
      </c>
    </row>
    <row r="83" customFormat="false" ht="21.75" hidden="false" customHeight="true" outlineLevel="0" collapsed="false">
      <c r="A83" s="40" t="s">
        <v>312</v>
      </c>
      <c r="B83" s="41" t="s">
        <v>313</v>
      </c>
      <c r="C83" s="42" t="s">
        <v>228</v>
      </c>
      <c r="D83" s="43" t="n">
        <v>80.64</v>
      </c>
      <c r="E83" s="37" t="n">
        <v>21</v>
      </c>
      <c r="F83" s="37" t="n">
        <v>8.6</v>
      </c>
      <c r="G83" s="44" t="n">
        <f aca="false">E83+F83</f>
        <v>29.6</v>
      </c>
      <c r="H83" s="45" t="n">
        <f aca="false">ROUND(D83*G83,2)</f>
        <v>2386.94</v>
      </c>
    </row>
    <row r="84" customFormat="false" ht="21.75" hidden="false" customHeight="true" outlineLevel="0" collapsed="false">
      <c r="A84" s="35" t="s">
        <v>314</v>
      </c>
      <c r="B84" s="16" t="s">
        <v>315</v>
      </c>
      <c r="C84" s="17" t="s">
        <v>228</v>
      </c>
      <c r="D84" s="36" t="n">
        <v>14.28</v>
      </c>
      <c r="E84" s="37" t="n">
        <v>26</v>
      </c>
      <c r="F84" s="37" t="n">
        <v>9.6</v>
      </c>
      <c r="G84" s="38" t="n">
        <f aca="false">E84+F84</f>
        <v>35.6</v>
      </c>
      <c r="H84" s="39" t="n">
        <f aca="false">ROUND(D84*G84,2)</f>
        <v>508.37</v>
      </c>
    </row>
    <row r="85" customFormat="false" ht="21.75" hidden="false" customHeight="true" outlineLevel="0" collapsed="false">
      <c r="A85" s="40" t="s">
        <v>316</v>
      </c>
      <c r="B85" s="41" t="s">
        <v>317</v>
      </c>
      <c r="C85" s="42" t="s">
        <v>228</v>
      </c>
      <c r="D85" s="43" t="n">
        <v>27.5856</v>
      </c>
      <c r="E85" s="37" t="n">
        <v>34</v>
      </c>
      <c r="F85" s="37" t="n">
        <v>11</v>
      </c>
      <c r="G85" s="44" t="n">
        <f aca="false">E85+F85</f>
        <v>45</v>
      </c>
      <c r="H85" s="45" t="n">
        <f aca="false">ROUND(D85*G85,2)</f>
        <v>1241.35</v>
      </c>
    </row>
    <row r="86" customFormat="false" ht="21.75" hidden="false" customHeight="true" outlineLevel="0" collapsed="false">
      <c r="A86" s="35" t="s">
        <v>318</v>
      </c>
      <c r="B86" s="16" t="s">
        <v>319</v>
      </c>
      <c r="C86" s="17" t="s">
        <v>228</v>
      </c>
      <c r="D86" s="36" t="n">
        <v>74.816</v>
      </c>
      <c r="E86" s="37" t="n">
        <v>46</v>
      </c>
      <c r="F86" s="37" t="n">
        <v>13.5</v>
      </c>
      <c r="G86" s="38" t="n">
        <f aca="false">E86+F86</f>
        <v>59.5</v>
      </c>
      <c r="H86" s="39" t="n">
        <f aca="false">ROUND(D86*G86,2)</f>
        <v>4451.55</v>
      </c>
    </row>
    <row r="87" customFormat="false" ht="13.5" hidden="false" customHeight="true" outlineLevel="0" collapsed="false">
      <c r="A87" s="40" t="s">
        <v>320</v>
      </c>
      <c r="B87" s="41" t="s">
        <v>321</v>
      </c>
      <c r="C87" s="42" t="s">
        <v>228</v>
      </c>
      <c r="D87" s="43" t="n">
        <v>28.28</v>
      </c>
      <c r="E87" s="37" t="n">
        <v>4.3</v>
      </c>
      <c r="F87" s="37" t="n">
        <v>6.6</v>
      </c>
      <c r="G87" s="44" t="n">
        <f aca="false">E87+F87</f>
        <v>10.9</v>
      </c>
      <c r="H87" s="45" t="n">
        <f aca="false">ROUND(D87*G87,2)</f>
        <v>308.25</v>
      </c>
    </row>
    <row r="88" customFormat="false" ht="13.5" hidden="false" customHeight="true" outlineLevel="0" collapsed="false">
      <c r="A88" s="35" t="s">
        <v>322</v>
      </c>
      <c r="B88" s="16" t="s">
        <v>323</v>
      </c>
      <c r="C88" s="17" t="s">
        <v>228</v>
      </c>
      <c r="D88" s="36" t="n">
        <v>66.2144</v>
      </c>
      <c r="E88" s="37" t="n">
        <v>5.5</v>
      </c>
      <c r="F88" s="37" t="n">
        <v>7.1</v>
      </c>
      <c r="G88" s="38" t="n">
        <f aca="false">E88+F88</f>
        <v>12.6</v>
      </c>
      <c r="H88" s="39" t="n">
        <f aca="false">ROUND(D88*G88,2)</f>
        <v>834.3</v>
      </c>
    </row>
    <row r="89" customFormat="false" ht="13.5" hidden="false" customHeight="true" outlineLevel="0" collapsed="false">
      <c r="A89" s="40" t="s">
        <v>324</v>
      </c>
      <c r="B89" s="41" t="s">
        <v>325</v>
      </c>
      <c r="C89" s="42" t="s">
        <v>228</v>
      </c>
      <c r="D89" s="43" t="n">
        <v>11.2</v>
      </c>
      <c r="E89" s="37" t="n">
        <v>6.9</v>
      </c>
      <c r="F89" s="37" t="n">
        <v>7.6</v>
      </c>
      <c r="G89" s="44" t="n">
        <f aca="false">E89+F89</f>
        <v>14.5</v>
      </c>
      <c r="H89" s="45" t="n">
        <f aca="false">ROUND(D89*G89,2)</f>
        <v>162.4</v>
      </c>
    </row>
    <row r="90" customFormat="false" ht="21.75" hidden="false" customHeight="true" outlineLevel="0" collapsed="false">
      <c r="A90" s="35" t="s">
        <v>326</v>
      </c>
      <c r="B90" s="16" t="s">
        <v>327</v>
      </c>
      <c r="C90" s="17" t="s">
        <v>161</v>
      </c>
      <c r="D90" s="36" t="n">
        <v>1</v>
      </c>
      <c r="E90" s="37" t="n">
        <v>8500</v>
      </c>
      <c r="F90" s="37" t="n">
        <v>0</v>
      </c>
      <c r="G90" s="38" t="n">
        <f aca="false">E90+F90</f>
        <v>8500</v>
      </c>
      <c r="H90" s="39" t="n">
        <f aca="false">ROUND(D90*G90,2)</f>
        <v>8500</v>
      </c>
    </row>
    <row r="91" customFormat="false" ht="21.75" hidden="false" customHeight="true" outlineLevel="0" collapsed="false">
      <c r="A91" s="40" t="s">
        <v>328</v>
      </c>
      <c r="B91" s="41" t="s">
        <v>329</v>
      </c>
      <c r="C91" s="42" t="s">
        <v>305</v>
      </c>
      <c r="D91" s="43" t="n">
        <v>2.1616</v>
      </c>
      <c r="E91" s="37" t="n">
        <v>345</v>
      </c>
      <c r="F91" s="37" t="n">
        <v>195</v>
      </c>
      <c r="G91" s="44" t="n">
        <f aca="false">E91+F91</f>
        <v>540</v>
      </c>
      <c r="H91" s="45" t="n">
        <f aca="false">ROUND(D91*G91,2)</f>
        <v>1167.26</v>
      </c>
    </row>
    <row r="92" customFormat="false" ht="13.5" hidden="false" customHeight="true" outlineLevel="0" collapsed="false">
      <c r="A92" s="35" t="s">
        <v>330</v>
      </c>
      <c r="B92" s="16" t="s">
        <v>331</v>
      </c>
      <c r="C92" s="17" t="s">
        <v>221</v>
      </c>
      <c r="D92" s="36" t="n">
        <v>15</v>
      </c>
      <c r="E92" s="37" t="n">
        <v>43</v>
      </c>
      <c r="F92" s="37" t="n">
        <v>19</v>
      </c>
      <c r="G92" s="38" t="n">
        <f aca="false">E92+F92</f>
        <v>62</v>
      </c>
      <c r="H92" s="39" t="n">
        <f aca="false">ROUND(D92*G92,2)</f>
        <v>930</v>
      </c>
    </row>
    <row r="93" customFormat="false" ht="13.5" hidden="false" customHeight="true" outlineLevel="0" collapsed="false">
      <c r="A93" s="40" t="s">
        <v>332</v>
      </c>
      <c r="B93" s="41" t="s">
        <v>333</v>
      </c>
      <c r="C93" s="42" t="s">
        <v>334</v>
      </c>
      <c r="D93" s="43" t="n">
        <v>132.16</v>
      </c>
      <c r="E93" s="37" t="n">
        <v>29</v>
      </c>
      <c r="F93" s="37" t="n">
        <v>4</v>
      </c>
      <c r="G93" s="44" t="n">
        <f aca="false">E93+F93</f>
        <v>33</v>
      </c>
      <c r="H93" s="45" t="n">
        <f aca="false">ROUND(D93*G93,2)</f>
        <v>4361.28</v>
      </c>
    </row>
    <row r="94" customFormat="false" ht="21.75" hidden="false" customHeight="true" outlineLevel="0" collapsed="false">
      <c r="A94" s="35" t="s">
        <v>335</v>
      </c>
      <c r="B94" s="16" t="s">
        <v>336</v>
      </c>
      <c r="C94" s="17" t="s">
        <v>334</v>
      </c>
      <c r="D94" s="36" t="n">
        <v>360.4784</v>
      </c>
      <c r="E94" s="37" t="n">
        <v>2.7</v>
      </c>
      <c r="F94" s="37" t="n">
        <v>2.25</v>
      </c>
      <c r="G94" s="38" t="n">
        <f aca="false">E94+F94</f>
        <v>4.95</v>
      </c>
      <c r="H94" s="39" t="n">
        <f aca="false">ROUND(D94*G94,2)</f>
        <v>1784.37</v>
      </c>
    </row>
    <row r="95" customFormat="false" ht="21.75" hidden="false" customHeight="true" outlineLevel="0" collapsed="false">
      <c r="A95" s="40" t="s">
        <v>337</v>
      </c>
      <c r="B95" s="41" t="s">
        <v>338</v>
      </c>
      <c r="C95" s="42" t="s">
        <v>247</v>
      </c>
      <c r="D95" s="43" t="n">
        <v>12</v>
      </c>
      <c r="E95" s="37" t="n">
        <v>430</v>
      </c>
      <c r="F95" s="37" t="n">
        <v>185</v>
      </c>
      <c r="G95" s="44" t="n">
        <f aca="false">E95+F95</f>
        <v>615</v>
      </c>
      <c r="H95" s="45" t="n">
        <f aca="false">ROUND(D95*G95,2)</f>
        <v>7380</v>
      </c>
    </row>
    <row r="96" customFormat="false" ht="21.75" hidden="false" customHeight="true" outlineLevel="0" collapsed="false">
      <c r="A96" s="35" t="s">
        <v>339</v>
      </c>
      <c r="B96" s="16" t="s">
        <v>340</v>
      </c>
      <c r="C96" s="17" t="s">
        <v>161</v>
      </c>
      <c r="D96" s="36" t="n">
        <v>1</v>
      </c>
      <c r="E96" s="37" t="n">
        <v>0</v>
      </c>
      <c r="F96" s="37" t="n">
        <v>6800</v>
      </c>
      <c r="G96" s="38" t="n">
        <f aca="false">E96+F96</f>
        <v>6800</v>
      </c>
      <c r="H96" s="39" t="n">
        <f aca="false">ROUND(D96*G96,2)</f>
        <v>6800</v>
      </c>
    </row>
    <row r="97" customFormat="false" ht="21.75" hidden="false" customHeight="true" outlineLevel="0" collapsed="false">
      <c r="A97" s="40" t="s">
        <v>341</v>
      </c>
      <c r="B97" s="41" t="s">
        <v>342</v>
      </c>
      <c r="C97" s="42" t="s">
        <v>161</v>
      </c>
      <c r="D97" s="43" t="n">
        <v>1</v>
      </c>
      <c r="E97" s="37" t="n">
        <v>0</v>
      </c>
      <c r="F97" s="37" t="n">
        <v>9800</v>
      </c>
      <c r="G97" s="44" t="n">
        <f aca="false">E97+F97</f>
        <v>9800</v>
      </c>
      <c r="H97" s="45" t="n">
        <f aca="false">ROUND(D97*G97,2)</f>
        <v>9800</v>
      </c>
    </row>
    <row r="98" customFormat="false" ht="21.75" hidden="false" customHeight="true" outlineLevel="0" collapsed="false">
      <c r="A98" s="35" t="s">
        <v>343</v>
      </c>
      <c r="B98" s="16" t="s">
        <v>344</v>
      </c>
      <c r="C98" s="17" t="s">
        <v>218</v>
      </c>
      <c r="D98" s="36" t="n">
        <v>1</v>
      </c>
      <c r="E98" s="37" t="n">
        <v>14500</v>
      </c>
      <c r="F98" s="37" t="n">
        <v>2250</v>
      </c>
      <c r="G98" s="38" t="n">
        <f aca="false">E98+F98</f>
        <v>16750</v>
      </c>
      <c r="H98" s="39" t="n">
        <f aca="false">ROUND(D98*G98,2)</f>
        <v>16750</v>
      </c>
    </row>
    <row r="99" customFormat="false" ht="21.75" hidden="false" customHeight="true" outlineLevel="0" collapsed="false">
      <c r="A99" s="40" t="s">
        <v>345</v>
      </c>
      <c r="B99" s="41" t="s">
        <v>346</v>
      </c>
      <c r="C99" s="42" t="s">
        <v>218</v>
      </c>
      <c r="D99" s="43" t="n">
        <v>1</v>
      </c>
      <c r="E99" s="37" t="n">
        <v>9800</v>
      </c>
      <c r="F99" s="37" t="n">
        <v>1650</v>
      </c>
      <c r="G99" s="44" t="n">
        <f aca="false">E99+F99</f>
        <v>11450</v>
      </c>
      <c r="H99" s="45" t="n">
        <f aca="false">ROUND(D99*G99,2)</f>
        <v>11450</v>
      </c>
    </row>
    <row r="100" customFormat="false" ht="13.5" hidden="false" customHeight="true" outlineLevel="0" collapsed="false">
      <c r="A100" s="35" t="s">
        <v>347</v>
      </c>
      <c r="B100" s="16" t="s">
        <v>296</v>
      </c>
      <c r="C100" s="17" t="s">
        <v>247</v>
      </c>
      <c r="D100" s="36" t="n">
        <v>3</v>
      </c>
      <c r="E100" s="37" t="n">
        <v>63</v>
      </c>
      <c r="F100" s="37" t="n">
        <v>29</v>
      </c>
      <c r="G100" s="38" t="n">
        <f aca="false">E100+F100</f>
        <v>92</v>
      </c>
      <c r="H100" s="39" t="n">
        <f aca="false">ROUND(D100*G100,2)</f>
        <v>276</v>
      </c>
    </row>
    <row r="101" customFormat="false" ht="13.5" hidden="false" customHeight="true" outlineLevel="0" collapsed="false">
      <c r="A101" s="40" t="s">
        <v>348</v>
      </c>
      <c r="B101" s="41" t="s">
        <v>349</v>
      </c>
      <c r="C101" s="42" t="s">
        <v>247</v>
      </c>
      <c r="D101" s="43" t="n">
        <v>2</v>
      </c>
      <c r="E101" s="37" t="n">
        <v>39</v>
      </c>
      <c r="F101" s="37" t="n">
        <v>21</v>
      </c>
      <c r="G101" s="44" t="n">
        <f aca="false">E101+F101</f>
        <v>60</v>
      </c>
      <c r="H101" s="45" t="n">
        <f aca="false">ROUND(D101*G101,2)</f>
        <v>120</v>
      </c>
    </row>
    <row r="102" customFormat="false" ht="13.5" hidden="false" customHeight="true" outlineLevel="0" collapsed="false">
      <c r="A102" s="35" t="s">
        <v>350</v>
      </c>
      <c r="B102" s="16" t="s">
        <v>351</v>
      </c>
      <c r="C102" s="17" t="s">
        <v>247</v>
      </c>
      <c r="D102" s="36" t="n">
        <v>2</v>
      </c>
      <c r="E102" s="37" t="n">
        <v>73</v>
      </c>
      <c r="F102" s="37" t="n">
        <v>27</v>
      </c>
      <c r="G102" s="38" t="n">
        <f aca="false">E102+F102</f>
        <v>100</v>
      </c>
      <c r="H102" s="39" t="n">
        <f aca="false">ROUND(D102*G102,2)</f>
        <v>200</v>
      </c>
    </row>
    <row r="103" customFormat="false" ht="13.5" hidden="false" customHeight="true" outlineLevel="0" collapsed="false">
      <c r="A103" s="40" t="s">
        <v>352</v>
      </c>
      <c r="B103" s="41" t="s">
        <v>353</v>
      </c>
      <c r="C103" s="42" t="s">
        <v>247</v>
      </c>
      <c r="D103" s="43" t="n">
        <v>3</v>
      </c>
      <c r="E103" s="37" t="n">
        <v>120</v>
      </c>
      <c r="F103" s="37" t="n">
        <v>35</v>
      </c>
      <c r="G103" s="44" t="n">
        <f aca="false">E103+F103</f>
        <v>155</v>
      </c>
      <c r="H103" s="45" t="n">
        <f aca="false">ROUND(D103*G103,2)</f>
        <v>465</v>
      </c>
    </row>
    <row r="104" customFormat="false" ht="13.5" hidden="false" customHeight="true" outlineLevel="0" collapsed="false">
      <c r="A104" s="35" t="s">
        <v>354</v>
      </c>
      <c r="B104" s="16" t="s">
        <v>355</v>
      </c>
      <c r="C104" s="17" t="s">
        <v>247</v>
      </c>
      <c r="D104" s="36" t="n">
        <v>1</v>
      </c>
      <c r="E104" s="37" t="n">
        <v>690</v>
      </c>
      <c r="F104" s="37" t="n">
        <v>125</v>
      </c>
      <c r="G104" s="38" t="n">
        <f aca="false">E104+F104</f>
        <v>815</v>
      </c>
      <c r="H104" s="39" t="n">
        <f aca="false">ROUND(D104*G104,2)</f>
        <v>815</v>
      </c>
    </row>
    <row r="105" customFormat="false" ht="13.5" hidden="false" customHeight="true" outlineLevel="0" collapsed="false">
      <c r="A105" s="40" t="s">
        <v>356</v>
      </c>
      <c r="B105" s="41" t="s">
        <v>357</v>
      </c>
      <c r="C105" s="42" t="s">
        <v>247</v>
      </c>
      <c r="D105" s="43" t="n">
        <v>1</v>
      </c>
      <c r="E105" s="37" t="n">
        <v>730</v>
      </c>
      <c r="F105" s="37" t="n">
        <v>135</v>
      </c>
      <c r="G105" s="44" t="n">
        <f aca="false">E105+F105</f>
        <v>865</v>
      </c>
      <c r="H105" s="45" t="n">
        <f aca="false">ROUND(D105*G105,2)</f>
        <v>865</v>
      </c>
    </row>
    <row r="106" customFormat="false" ht="13.5" hidden="false" customHeight="true" outlineLevel="0" collapsed="false">
      <c r="A106" s="35" t="s">
        <v>358</v>
      </c>
      <c r="B106" s="16" t="s">
        <v>359</v>
      </c>
      <c r="C106" s="17" t="s">
        <v>247</v>
      </c>
      <c r="D106" s="36" t="n">
        <v>1</v>
      </c>
      <c r="E106" s="37" t="n">
        <v>168</v>
      </c>
      <c r="F106" s="37" t="n">
        <v>46</v>
      </c>
      <c r="G106" s="38" t="n">
        <f aca="false">E106+F106</f>
        <v>214</v>
      </c>
      <c r="H106" s="39" t="n">
        <f aca="false">ROUND(D106*G106,2)</f>
        <v>214</v>
      </c>
    </row>
    <row r="107" customFormat="false" ht="13.5" hidden="false" customHeight="true" outlineLevel="0" collapsed="false">
      <c r="A107" s="40" t="s">
        <v>360</v>
      </c>
      <c r="B107" s="41" t="s">
        <v>361</v>
      </c>
      <c r="C107" s="42" t="s">
        <v>221</v>
      </c>
      <c r="D107" s="43" t="n">
        <v>95.624</v>
      </c>
      <c r="E107" s="37" t="n">
        <v>34</v>
      </c>
      <c r="F107" s="37" t="n">
        <v>26</v>
      </c>
      <c r="G107" s="44" t="n">
        <f aca="false">E107+F107</f>
        <v>60</v>
      </c>
      <c r="H107" s="45" t="n">
        <f aca="false">ROUND(D107*G107,2)</f>
        <v>5737.44</v>
      </c>
    </row>
    <row r="108" customFormat="false" ht="21.75" hidden="false" customHeight="true" outlineLevel="0" collapsed="false">
      <c r="A108" s="35" t="s">
        <v>362</v>
      </c>
      <c r="B108" s="16" t="s">
        <v>363</v>
      </c>
      <c r="C108" s="17" t="s">
        <v>305</v>
      </c>
      <c r="D108" s="36" t="n">
        <v>4.6</v>
      </c>
      <c r="E108" s="37" t="n">
        <v>365</v>
      </c>
      <c r="F108" s="37" t="n">
        <v>195</v>
      </c>
      <c r="G108" s="38" t="n">
        <f aca="false">E108+F108</f>
        <v>560</v>
      </c>
      <c r="H108" s="39" t="n">
        <f aca="false">ROUND(D108*G108,2)</f>
        <v>2576</v>
      </c>
    </row>
    <row r="109" customFormat="false" ht="13.5" hidden="false" customHeight="true" outlineLevel="0" collapsed="false">
      <c r="A109" s="40" t="s">
        <v>364</v>
      </c>
      <c r="B109" s="41" t="s">
        <v>365</v>
      </c>
      <c r="C109" s="42" t="s">
        <v>228</v>
      </c>
      <c r="D109" s="43" t="n">
        <v>79.457</v>
      </c>
      <c r="E109" s="37" t="n">
        <v>9.6</v>
      </c>
      <c r="F109" s="37" t="n">
        <v>6.6</v>
      </c>
      <c r="G109" s="44" t="n">
        <f aca="false">E109+F109</f>
        <v>16.2</v>
      </c>
      <c r="H109" s="45" t="n">
        <f aca="false">ROUND(D109*G109,2)</f>
        <v>1287.2</v>
      </c>
    </row>
    <row r="110" customFormat="false" ht="13.5" hidden="false" customHeight="true" outlineLevel="0" collapsed="false">
      <c r="A110" s="35" t="s">
        <v>366</v>
      </c>
      <c r="B110" s="16" t="s">
        <v>367</v>
      </c>
      <c r="C110" s="17" t="s">
        <v>228</v>
      </c>
      <c r="D110" s="36" t="n">
        <v>79.457</v>
      </c>
      <c r="E110" s="37" t="n">
        <v>21</v>
      </c>
      <c r="F110" s="37" t="n">
        <v>8.6</v>
      </c>
      <c r="G110" s="38" t="n">
        <f aca="false">E110+F110</f>
        <v>29.6</v>
      </c>
      <c r="H110" s="39" t="n">
        <f aca="false">ROUND(D110*G110,2)</f>
        <v>2351.93</v>
      </c>
    </row>
    <row r="111" customFormat="false" ht="13.5" hidden="false" customHeight="true" outlineLevel="0" collapsed="false">
      <c r="A111" s="40" t="s">
        <v>368</v>
      </c>
      <c r="B111" s="41" t="s">
        <v>369</v>
      </c>
      <c r="C111" s="42" t="s">
        <v>228</v>
      </c>
      <c r="D111" s="43" t="n">
        <v>5.5</v>
      </c>
      <c r="E111" s="37" t="n">
        <v>4.3</v>
      </c>
      <c r="F111" s="37" t="n">
        <v>6.6</v>
      </c>
      <c r="G111" s="44" t="n">
        <f aca="false">E111+F111</f>
        <v>10.9</v>
      </c>
      <c r="H111" s="45" t="n">
        <f aca="false">ROUND(D111*G111,2)</f>
        <v>59.95</v>
      </c>
    </row>
    <row r="112" customFormat="false" ht="13.5" hidden="false" customHeight="true" outlineLevel="0" collapsed="false">
      <c r="A112" s="35" t="s">
        <v>370</v>
      </c>
      <c r="B112" s="16" t="s">
        <v>371</v>
      </c>
      <c r="C112" s="17" t="s">
        <v>161</v>
      </c>
      <c r="D112" s="36" t="n">
        <v>1</v>
      </c>
      <c r="E112" s="37" t="n">
        <v>3200</v>
      </c>
      <c r="F112" s="37" t="n">
        <v>0</v>
      </c>
      <c r="G112" s="38" t="n">
        <f aca="false">E112+F112</f>
        <v>3200</v>
      </c>
      <c r="H112" s="39" t="n">
        <f aca="false">ROUND(D112*G112,2)</f>
        <v>3200</v>
      </c>
    </row>
    <row r="113" customFormat="false" ht="13.5" hidden="false" customHeight="true" outlineLevel="0" collapsed="false">
      <c r="A113" s="40" t="s">
        <v>372</v>
      </c>
      <c r="B113" s="41" t="s">
        <v>373</v>
      </c>
      <c r="C113" s="42" t="s">
        <v>305</v>
      </c>
      <c r="D113" s="43" t="n">
        <v>0.55</v>
      </c>
      <c r="E113" s="37" t="n">
        <v>345</v>
      </c>
      <c r="F113" s="37" t="n">
        <v>195</v>
      </c>
      <c r="G113" s="44" t="n">
        <f aca="false">E113+F113</f>
        <v>540</v>
      </c>
      <c r="H113" s="45" t="n">
        <f aca="false">ROUND(D113*G113,2)</f>
        <v>297</v>
      </c>
    </row>
    <row r="114" customFormat="false" ht="13.5" hidden="false" customHeight="true" outlineLevel="0" collapsed="false">
      <c r="A114" s="35" t="s">
        <v>374</v>
      </c>
      <c r="B114" s="16" t="s">
        <v>333</v>
      </c>
      <c r="C114" s="17" t="s">
        <v>334</v>
      </c>
      <c r="D114" s="36" t="n">
        <v>14.608</v>
      </c>
      <c r="E114" s="37" t="n">
        <v>29</v>
      </c>
      <c r="F114" s="37" t="n">
        <v>4</v>
      </c>
      <c r="G114" s="38" t="n">
        <f aca="false">E114+F114</f>
        <v>33</v>
      </c>
      <c r="H114" s="39" t="n">
        <f aca="false">ROUND(D114*G114,2)</f>
        <v>482.06</v>
      </c>
    </row>
    <row r="115" customFormat="false" ht="13.5" hidden="false" customHeight="true" outlineLevel="0" collapsed="false">
      <c r="A115" s="40" t="s">
        <v>375</v>
      </c>
      <c r="B115" s="41" t="s">
        <v>331</v>
      </c>
      <c r="C115" s="42" t="s">
        <v>221</v>
      </c>
      <c r="D115" s="43" t="n">
        <v>1.65</v>
      </c>
      <c r="E115" s="37" t="n">
        <v>43</v>
      </c>
      <c r="F115" s="37" t="n">
        <v>19</v>
      </c>
      <c r="G115" s="44" t="n">
        <f aca="false">E115+F115</f>
        <v>62</v>
      </c>
      <c r="H115" s="45" t="n">
        <f aca="false">ROUND(D115*G115,2)</f>
        <v>102.3</v>
      </c>
    </row>
    <row r="116" customFormat="false" ht="21.75" hidden="false" customHeight="true" outlineLevel="0" collapsed="false">
      <c r="A116" s="35" t="s">
        <v>376</v>
      </c>
      <c r="B116" s="16" t="s">
        <v>377</v>
      </c>
      <c r="C116" s="17" t="s">
        <v>334</v>
      </c>
      <c r="D116" s="36" t="n">
        <v>253.687</v>
      </c>
      <c r="E116" s="37" t="n">
        <v>2.7</v>
      </c>
      <c r="F116" s="37" t="n">
        <v>2.25</v>
      </c>
      <c r="G116" s="38" t="n">
        <f aca="false">E116+F116</f>
        <v>4.95</v>
      </c>
      <c r="H116" s="39" t="n">
        <f aca="false">ROUND(D116*G116,2)</f>
        <v>1255.75</v>
      </c>
    </row>
    <row r="117" customFormat="false" ht="21.75" hidden="false" customHeight="true" outlineLevel="0" collapsed="false">
      <c r="A117" s="40" t="s">
        <v>378</v>
      </c>
      <c r="B117" s="41" t="s">
        <v>379</v>
      </c>
      <c r="C117" s="42" t="s">
        <v>161</v>
      </c>
      <c r="D117" s="43" t="n">
        <v>1</v>
      </c>
      <c r="E117" s="37" t="n">
        <v>0</v>
      </c>
      <c r="F117" s="37" t="n">
        <v>3400</v>
      </c>
      <c r="G117" s="44" t="n">
        <f aca="false">E117+F117</f>
        <v>3400</v>
      </c>
      <c r="H117" s="45" t="n">
        <f aca="false">ROUND(D117*G117,2)</f>
        <v>3400</v>
      </c>
    </row>
    <row r="118" customFormat="false" ht="13.5" hidden="false" customHeight="true" outlineLevel="0" collapsed="false">
      <c r="A118" s="35" t="s">
        <v>380</v>
      </c>
      <c r="B118" s="16" t="s">
        <v>381</v>
      </c>
      <c r="C118" s="17" t="s">
        <v>161</v>
      </c>
      <c r="D118" s="36" t="n">
        <v>1</v>
      </c>
      <c r="E118" s="37" t="n">
        <v>0</v>
      </c>
      <c r="F118" s="37" t="n">
        <v>4800</v>
      </c>
      <c r="G118" s="38" t="n">
        <f aca="false">E118+F118</f>
        <v>4800</v>
      </c>
      <c r="H118" s="39" t="n">
        <f aca="false">ROUND(D118*G118,2)</f>
        <v>4800</v>
      </c>
    </row>
    <row r="119" customFormat="false" ht="13.5" hidden="false" customHeight="true" outlineLevel="0" collapsed="false">
      <c r="A119" s="40" t="s">
        <v>382</v>
      </c>
      <c r="B119" s="41" t="s">
        <v>383</v>
      </c>
      <c r="C119" s="42" t="s">
        <v>247</v>
      </c>
      <c r="D119" s="43" t="n">
        <v>3</v>
      </c>
      <c r="E119" s="37" t="n">
        <v>215</v>
      </c>
      <c r="F119" s="37" t="n">
        <v>62</v>
      </c>
      <c r="G119" s="44" t="n">
        <f aca="false">E119+F119</f>
        <v>277</v>
      </c>
      <c r="H119" s="45" t="n">
        <f aca="false">ROUND(D119*G119,2)</f>
        <v>831</v>
      </c>
    </row>
    <row r="120" customFormat="false" ht="21.75" hidden="false" customHeight="true" outlineLevel="0" collapsed="false">
      <c r="A120" s="35" t="s">
        <v>384</v>
      </c>
      <c r="B120" s="16" t="s">
        <v>385</v>
      </c>
      <c r="C120" s="17" t="s">
        <v>161</v>
      </c>
      <c r="D120" s="36" t="n">
        <v>1</v>
      </c>
      <c r="E120" s="37" t="n">
        <v>34500</v>
      </c>
      <c r="F120" s="37" t="n">
        <v>8500</v>
      </c>
      <c r="G120" s="38" t="n">
        <f aca="false">E120+F120</f>
        <v>43000</v>
      </c>
      <c r="H120" s="39" t="n">
        <f aca="false">ROUND(D120*G120,2)</f>
        <v>43000</v>
      </c>
    </row>
    <row r="121" customFormat="false" ht="21.75" hidden="false" customHeight="true" outlineLevel="0" collapsed="false">
      <c r="A121" s="40" t="s">
        <v>386</v>
      </c>
      <c r="B121" s="41" t="s">
        <v>387</v>
      </c>
      <c r="C121" s="42" t="s">
        <v>218</v>
      </c>
      <c r="D121" s="43" t="n">
        <v>3</v>
      </c>
      <c r="E121" s="37" t="n">
        <v>730</v>
      </c>
      <c r="F121" s="37" t="n">
        <v>195</v>
      </c>
      <c r="G121" s="44" t="n">
        <f aca="false">E121+F121</f>
        <v>925</v>
      </c>
      <c r="H121" s="45" t="n">
        <f aca="false">ROUND(D121*G121,2)</f>
        <v>2775</v>
      </c>
    </row>
    <row r="122" customFormat="false" ht="21.75" hidden="false" customHeight="true" outlineLevel="0" collapsed="false">
      <c r="A122" s="35" t="s">
        <v>388</v>
      </c>
      <c r="B122" s="16" t="s">
        <v>389</v>
      </c>
      <c r="C122" s="17" t="s">
        <v>218</v>
      </c>
      <c r="D122" s="36" t="n">
        <v>4</v>
      </c>
      <c r="E122" s="37" t="n">
        <v>860</v>
      </c>
      <c r="F122" s="37" t="n">
        <v>215</v>
      </c>
      <c r="G122" s="38" t="n">
        <f aca="false">E122+F122</f>
        <v>1075</v>
      </c>
      <c r="H122" s="39" t="n">
        <f aca="false">ROUND(D122*G122,2)</f>
        <v>4300</v>
      </c>
    </row>
    <row r="123" customFormat="false" ht="21.75" hidden="false" customHeight="true" outlineLevel="0" collapsed="false">
      <c r="A123" s="40" t="s">
        <v>390</v>
      </c>
      <c r="B123" s="41" t="s">
        <v>282</v>
      </c>
      <c r="C123" s="42" t="s">
        <v>218</v>
      </c>
      <c r="D123" s="43" t="n">
        <v>2</v>
      </c>
      <c r="E123" s="37" t="n">
        <v>985</v>
      </c>
      <c r="F123" s="37" t="n">
        <v>225</v>
      </c>
      <c r="G123" s="44" t="n">
        <f aca="false">E123+F123</f>
        <v>1210</v>
      </c>
      <c r="H123" s="45" t="n">
        <f aca="false">ROUND(D123*G123,2)</f>
        <v>2420</v>
      </c>
    </row>
    <row r="124" customFormat="false" ht="21.75" hidden="false" customHeight="true" outlineLevel="0" collapsed="false">
      <c r="A124" s="35" t="s">
        <v>391</v>
      </c>
      <c r="B124" s="16" t="s">
        <v>392</v>
      </c>
      <c r="C124" s="17" t="s">
        <v>218</v>
      </c>
      <c r="D124" s="36" t="n">
        <v>1</v>
      </c>
      <c r="E124" s="37" t="n">
        <v>12800</v>
      </c>
      <c r="F124" s="37" t="n">
        <v>1950</v>
      </c>
      <c r="G124" s="38" t="n">
        <f aca="false">E124+F124</f>
        <v>14750</v>
      </c>
      <c r="H124" s="39" t="n">
        <f aca="false">ROUND(D124*G124,2)</f>
        <v>14750</v>
      </c>
    </row>
    <row r="125" customFormat="false" ht="13.5" hidden="false" customHeight="true" outlineLevel="0" collapsed="false">
      <c r="A125" s="40" t="s">
        <v>393</v>
      </c>
      <c r="B125" s="41" t="s">
        <v>394</v>
      </c>
      <c r="C125" s="42" t="s">
        <v>247</v>
      </c>
      <c r="D125" s="43" t="n">
        <v>9</v>
      </c>
      <c r="E125" s="37" t="n">
        <v>148</v>
      </c>
      <c r="F125" s="37" t="n">
        <v>46</v>
      </c>
      <c r="G125" s="44" t="n">
        <f aca="false">E125+F125</f>
        <v>194</v>
      </c>
      <c r="H125" s="45" t="n">
        <f aca="false">ROUND(D125*G125,2)</f>
        <v>1746</v>
      </c>
    </row>
    <row r="126" customFormat="false" ht="13.5" hidden="false" customHeight="true" outlineLevel="0" collapsed="false">
      <c r="A126" s="35" t="s">
        <v>395</v>
      </c>
      <c r="B126" s="16" t="s">
        <v>288</v>
      </c>
      <c r="C126" s="17" t="s">
        <v>247</v>
      </c>
      <c r="D126" s="36" t="n">
        <v>7</v>
      </c>
      <c r="E126" s="37" t="n">
        <v>168</v>
      </c>
      <c r="F126" s="37" t="n">
        <v>56</v>
      </c>
      <c r="G126" s="38" t="n">
        <f aca="false">E126+F126</f>
        <v>224</v>
      </c>
      <c r="H126" s="39" t="n">
        <f aca="false">ROUND(D126*G126,2)</f>
        <v>1568</v>
      </c>
    </row>
    <row r="127" customFormat="false" ht="13.5" hidden="false" customHeight="true" outlineLevel="0" collapsed="false">
      <c r="A127" s="40" t="s">
        <v>396</v>
      </c>
      <c r="B127" s="41" t="s">
        <v>290</v>
      </c>
      <c r="C127" s="42" t="s">
        <v>247</v>
      </c>
      <c r="D127" s="43" t="n">
        <v>1</v>
      </c>
      <c r="E127" s="37" t="n">
        <v>218</v>
      </c>
      <c r="F127" s="37" t="n">
        <v>66</v>
      </c>
      <c r="G127" s="44" t="n">
        <f aca="false">E127+F127</f>
        <v>284</v>
      </c>
      <c r="H127" s="45" t="n">
        <f aca="false">ROUND(D127*G127,2)</f>
        <v>284</v>
      </c>
    </row>
    <row r="128" customFormat="false" ht="13.5" hidden="false" customHeight="true" outlineLevel="0" collapsed="false">
      <c r="A128" s="35" t="s">
        <v>397</v>
      </c>
      <c r="B128" s="16" t="s">
        <v>398</v>
      </c>
      <c r="C128" s="17" t="s">
        <v>228</v>
      </c>
      <c r="D128" s="36" t="n">
        <v>46.762</v>
      </c>
      <c r="E128" s="37" t="n">
        <v>7.6</v>
      </c>
      <c r="F128" s="37" t="n">
        <v>6.1</v>
      </c>
      <c r="G128" s="38" t="n">
        <f aca="false">E128+F128</f>
        <v>13.7</v>
      </c>
      <c r="H128" s="39" t="n">
        <f aca="false">ROUND(D128*G128,2)</f>
        <v>640.64</v>
      </c>
    </row>
    <row r="129" customFormat="false" ht="13.5" hidden="false" customHeight="true" outlineLevel="0" collapsed="false">
      <c r="A129" s="40" t="s">
        <v>399</v>
      </c>
      <c r="B129" s="41" t="s">
        <v>365</v>
      </c>
      <c r="C129" s="42" t="s">
        <v>228</v>
      </c>
      <c r="D129" s="43" t="n">
        <v>47.334</v>
      </c>
      <c r="E129" s="37" t="n">
        <v>9.6</v>
      </c>
      <c r="F129" s="37" t="n">
        <v>6.6</v>
      </c>
      <c r="G129" s="44" t="n">
        <f aca="false">E129+F129</f>
        <v>16.2</v>
      </c>
      <c r="H129" s="45" t="n">
        <f aca="false">ROUND(D129*G129,2)</f>
        <v>766.81</v>
      </c>
    </row>
    <row r="130" customFormat="false" ht="13.5" hidden="false" customHeight="true" outlineLevel="0" collapsed="false">
      <c r="A130" s="35" t="s">
        <v>400</v>
      </c>
      <c r="B130" s="16" t="s">
        <v>401</v>
      </c>
      <c r="C130" s="17" t="s">
        <v>228</v>
      </c>
      <c r="D130" s="36" t="n">
        <v>113.262</v>
      </c>
      <c r="E130" s="37" t="n">
        <v>12.6</v>
      </c>
      <c r="F130" s="37" t="n">
        <v>7.1</v>
      </c>
      <c r="G130" s="38" t="n">
        <f aca="false">E130+F130</f>
        <v>19.7</v>
      </c>
      <c r="H130" s="39" t="n">
        <f aca="false">ROUND(D130*G130,2)</f>
        <v>2231.26</v>
      </c>
    </row>
    <row r="131" customFormat="false" ht="13.5" hidden="false" customHeight="true" outlineLevel="0" collapsed="false">
      <c r="A131" s="40" t="s">
        <v>402</v>
      </c>
      <c r="B131" s="41" t="s">
        <v>403</v>
      </c>
      <c r="C131" s="42" t="s">
        <v>228</v>
      </c>
      <c r="D131" s="43" t="n">
        <v>37.027</v>
      </c>
      <c r="E131" s="37" t="n">
        <v>16.2</v>
      </c>
      <c r="F131" s="37" t="n">
        <v>7.6</v>
      </c>
      <c r="G131" s="44" t="n">
        <f aca="false">E131+F131</f>
        <v>23.8</v>
      </c>
      <c r="H131" s="45" t="n">
        <f aca="false">ROUND(D131*G131,2)</f>
        <v>881.24</v>
      </c>
    </row>
    <row r="132" customFormat="false" ht="13.5" hidden="false" customHeight="true" outlineLevel="0" collapsed="false">
      <c r="A132" s="35" t="s">
        <v>404</v>
      </c>
      <c r="B132" s="16" t="s">
        <v>367</v>
      </c>
      <c r="C132" s="17" t="s">
        <v>228</v>
      </c>
      <c r="D132" s="36" t="n">
        <v>12.307</v>
      </c>
      <c r="E132" s="37" t="n">
        <v>21</v>
      </c>
      <c r="F132" s="37" t="n">
        <v>8.6</v>
      </c>
      <c r="G132" s="38" t="n">
        <f aca="false">E132+F132</f>
        <v>29.6</v>
      </c>
      <c r="H132" s="39" t="n">
        <f aca="false">ROUND(D132*G132,2)</f>
        <v>364.29</v>
      </c>
    </row>
    <row r="133" customFormat="false" ht="13.5" hidden="false" customHeight="true" outlineLevel="0" collapsed="false">
      <c r="A133" s="40" t="s">
        <v>405</v>
      </c>
      <c r="B133" s="41" t="s">
        <v>406</v>
      </c>
      <c r="C133" s="42" t="s">
        <v>228</v>
      </c>
      <c r="D133" s="43" t="n">
        <v>49.5</v>
      </c>
      <c r="E133" s="37" t="n">
        <v>34</v>
      </c>
      <c r="F133" s="37" t="n">
        <v>11</v>
      </c>
      <c r="G133" s="44" t="n">
        <f aca="false">E133+F133</f>
        <v>45</v>
      </c>
      <c r="H133" s="45" t="n">
        <f aca="false">ROUND(D133*G133,2)</f>
        <v>2227.5</v>
      </c>
    </row>
    <row r="134" customFormat="false" ht="13.5" hidden="false" customHeight="true" outlineLevel="0" collapsed="false">
      <c r="A134" s="35" t="s">
        <v>407</v>
      </c>
      <c r="B134" s="16" t="s">
        <v>408</v>
      </c>
      <c r="C134" s="17" t="s">
        <v>228</v>
      </c>
      <c r="D134" s="36" t="n">
        <v>38.632</v>
      </c>
      <c r="E134" s="37" t="n">
        <v>3.7</v>
      </c>
      <c r="F134" s="37" t="n">
        <v>6.3</v>
      </c>
      <c r="G134" s="38" t="n">
        <f aca="false">E134+F134</f>
        <v>10</v>
      </c>
      <c r="H134" s="39" t="n">
        <f aca="false">ROUND(D134*G134,2)</f>
        <v>386.32</v>
      </c>
    </row>
    <row r="135" customFormat="false" ht="13.5" hidden="false" customHeight="true" outlineLevel="0" collapsed="false">
      <c r="A135" s="40" t="s">
        <v>409</v>
      </c>
      <c r="B135" s="41" t="s">
        <v>369</v>
      </c>
      <c r="C135" s="42" t="s">
        <v>228</v>
      </c>
      <c r="D135" s="43" t="n">
        <v>24.629</v>
      </c>
      <c r="E135" s="37" t="n">
        <v>4.3</v>
      </c>
      <c r="F135" s="37" t="n">
        <v>6.6</v>
      </c>
      <c r="G135" s="44" t="n">
        <f aca="false">E135+F135</f>
        <v>10.9</v>
      </c>
      <c r="H135" s="45" t="n">
        <f aca="false">ROUND(D135*G135,2)</f>
        <v>268.46</v>
      </c>
    </row>
    <row r="136" customFormat="false" ht="13.5" hidden="false" customHeight="true" outlineLevel="0" collapsed="false">
      <c r="A136" s="35" t="s">
        <v>410</v>
      </c>
      <c r="B136" s="16" t="s">
        <v>411</v>
      </c>
      <c r="C136" s="17" t="s">
        <v>228</v>
      </c>
      <c r="D136" s="36" t="n">
        <v>16.302</v>
      </c>
      <c r="E136" s="37" t="n">
        <v>5.5</v>
      </c>
      <c r="F136" s="37" t="n">
        <v>7.1</v>
      </c>
      <c r="G136" s="38" t="n">
        <f aca="false">E136+F136</f>
        <v>12.6</v>
      </c>
      <c r="H136" s="39" t="n">
        <f aca="false">ROUND(D136*G136,2)</f>
        <v>205.41</v>
      </c>
    </row>
    <row r="137" customFormat="false" ht="13.5" hidden="false" customHeight="true" outlineLevel="0" collapsed="false">
      <c r="A137" s="40" t="s">
        <v>412</v>
      </c>
      <c r="B137" s="41" t="s">
        <v>413</v>
      </c>
      <c r="C137" s="42" t="s">
        <v>161</v>
      </c>
      <c r="D137" s="43" t="n">
        <v>1</v>
      </c>
      <c r="E137" s="37" t="n">
        <v>4200</v>
      </c>
      <c r="F137" s="37" t="n">
        <v>0</v>
      </c>
      <c r="G137" s="44" t="n">
        <f aca="false">E137+F137</f>
        <v>4200</v>
      </c>
      <c r="H137" s="45" t="n">
        <f aca="false">ROUND(D137*G137,2)</f>
        <v>4200</v>
      </c>
    </row>
    <row r="138" customFormat="false" ht="13.5" hidden="false" customHeight="true" outlineLevel="0" collapsed="false">
      <c r="A138" s="35" t="s">
        <v>414</v>
      </c>
      <c r="B138" s="16" t="s">
        <v>373</v>
      </c>
      <c r="C138" s="17" t="s">
        <v>305</v>
      </c>
      <c r="D138" s="36" t="n">
        <v>1.26</v>
      </c>
      <c r="E138" s="37" t="n">
        <v>345</v>
      </c>
      <c r="F138" s="37" t="n">
        <v>195</v>
      </c>
      <c r="G138" s="38" t="n">
        <f aca="false">E138+F138</f>
        <v>540</v>
      </c>
      <c r="H138" s="39" t="n">
        <f aca="false">ROUND(D138*G138,2)</f>
        <v>680.4</v>
      </c>
    </row>
    <row r="139" customFormat="false" ht="13.5" hidden="false" customHeight="true" outlineLevel="0" collapsed="false">
      <c r="A139" s="40" t="s">
        <v>415</v>
      </c>
      <c r="B139" s="41" t="s">
        <v>333</v>
      </c>
      <c r="C139" s="42" t="s">
        <v>334</v>
      </c>
      <c r="D139" s="43" t="n">
        <v>39.5</v>
      </c>
      <c r="E139" s="37" t="n">
        <v>29</v>
      </c>
      <c r="F139" s="37" t="n">
        <v>4</v>
      </c>
      <c r="G139" s="44" t="n">
        <f aca="false">E139+F139</f>
        <v>33</v>
      </c>
      <c r="H139" s="45" t="n">
        <f aca="false">ROUND(D139*G139,2)</f>
        <v>1303.5</v>
      </c>
    </row>
    <row r="140" customFormat="false" ht="13.5" hidden="false" customHeight="true" outlineLevel="0" collapsed="false">
      <c r="A140" s="35" t="s">
        <v>416</v>
      </c>
      <c r="B140" s="16" t="s">
        <v>417</v>
      </c>
      <c r="C140" s="17" t="s">
        <v>334</v>
      </c>
      <c r="D140" s="36" t="n">
        <v>210.69</v>
      </c>
      <c r="E140" s="37" t="n">
        <v>2.7</v>
      </c>
      <c r="F140" s="37" t="n">
        <v>2.25</v>
      </c>
      <c r="G140" s="38" t="n">
        <f aca="false">E140+F140</f>
        <v>4.95</v>
      </c>
      <c r="H140" s="39" t="n">
        <f aca="false">ROUND(D140*G140,2)</f>
        <v>1042.92</v>
      </c>
    </row>
    <row r="141" customFormat="false" ht="13.5" hidden="false" customHeight="true" outlineLevel="0" collapsed="false">
      <c r="A141" s="40" t="s">
        <v>418</v>
      </c>
      <c r="B141" s="41" t="s">
        <v>419</v>
      </c>
      <c r="C141" s="42" t="s">
        <v>161</v>
      </c>
      <c r="D141" s="43" t="n">
        <v>1</v>
      </c>
      <c r="E141" s="37" t="n">
        <v>0</v>
      </c>
      <c r="F141" s="37" t="n">
        <v>3200</v>
      </c>
      <c r="G141" s="44" t="n">
        <f aca="false">E141+F141</f>
        <v>3200</v>
      </c>
      <c r="H141" s="45" t="n">
        <f aca="false">ROUND(D141*G141,2)</f>
        <v>3200</v>
      </c>
    </row>
    <row r="142" customFormat="false" ht="13.5" hidden="false" customHeight="true" outlineLevel="0" collapsed="false">
      <c r="A142" s="35" t="s">
        <v>420</v>
      </c>
      <c r="B142" s="16" t="s">
        <v>421</v>
      </c>
      <c r="C142" s="17" t="s">
        <v>161</v>
      </c>
      <c r="D142" s="36" t="n">
        <v>1</v>
      </c>
      <c r="E142" s="37" t="n">
        <v>0</v>
      </c>
      <c r="F142" s="37" t="n">
        <v>4200</v>
      </c>
      <c r="G142" s="38" t="n">
        <f aca="false">E142+F142</f>
        <v>4200</v>
      </c>
      <c r="H142" s="39" t="n">
        <f aca="false">ROUND(D142*G142,2)</f>
        <v>4200</v>
      </c>
    </row>
    <row r="143" customFormat="false" ht="21.75" hidden="false" customHeight="true" outlineLevel="0" collapsed="false">
      <c r="A143" s="40" t="s">
        <v>422</v>
      </c>
      <c r="B143" s="41" t="s">
        <v>423</v>
      </c>
      <c r="C143" s="42" t="s">
        <v>218</v>
      </c>
      <c r="D143" s="43" t="n">
        <v>1</v>
      </c>
      <c r="E143" s="37" t="n">
        <v>4650</v>
      </c>
      <c r="F143" s="37" t="n">
        <v>880</v>
      </c>
      <c r="G143" s="44" t="n">
        <f aca="false">E143+F143</f>
        <v>5530</v>
      </c>
      <c r="H143" s="45" t="n">
        <f aca="false">ROUND(D143*G143,2)</f>
        <v>5530</v>
      </c>
    </row>
    <row r="144" customFormat="false" ht="13.5" hidden="false" customHeight="true" outlineLevel="0" collapsed="false">
      <c r="A144" s="35" t="s">
        <v>424</v>
      </c>
      <c r="B144" s="16" t="s">
        <v>349</v>
      </c>
      <c r="C144" s="17" t="s">
        <v>247</v>
      </c>
      <c r="D144" s="36" t="n">
        <v>2</v>
      </c>
      <c r="E144" s="37" t="n">
        <v>39</v>
      </c>
      <c r="F144" s="37" t="n">
        <v>21</v>
      </c>
      <c r="G144" s="38" t="n">
        <f aca="false">E144+F144</f>
        <v>60</v>
      </c>
      <c r="H144" s="39" t="n">
        <f aca="false">ROUND(D144*G144,2)</f>
        <v>120</v>
      </c>
    </row>
    <row r="145" customFormat="false" ht="13.5" hidden="false" customHeight="true" outlineLevel="0" collapsed="false">
      <c r="A145" s="40" t="s">
        <v>425</v>
      </c>
      <c r="B145" s="41" t="s">
        <v>426</v>
      </c>
      <c r="C145" s="42" t="s">
        <v>247</v>
      </c>
      <c r="D145" s="43" t="n">
        <v>1</v>
      </c>
      <c r="E145" s="37" t="n">
        <v>53</v>
      </c>
      <c r="F145" s="37" t="n">
        <v>25</v>
      </c>
      <c r="G145" s="44" t="n">
        <f aca="false">E145+F145</f>
        <v>78</v>
      </c>
      <c r="H145" s="45" t="n">
        <f aca="false">ROUND(D145*G145,2)</f>
        <v>78</v>
      </c>
    </row>
    <row r="146" customFormat="false" ht="13.5" hidden="false" customHeight="true" outlineLevel="0" collapsed="false">
      <c r="A146" s="35" t="s">
        <v>427</v>
      </c>
      <c r="B146" s="16" t="s">
        <v>428</v>
      </c>
      <c r="C146" s="17" t="s">
        <v>247</v>
      </c>
      <c r="D146" s="36" t="n">
        <v>1</v>
      </c>
      <c r="E146" s="37" t="n">
        <v>46</v>
      </c>
      <c r="F146" s="37" t="n">
        <v>23</v>
      </c>
      <c r="G146" s="38" t="n">
        <f aca="false">E146+F146</f>
        <v>69</v>
      </c>
      <c r="H146" s="39" t="n">
        <f aca="false">ROUND(D146*G146,2)</f>
        <v>69</v>
      </c>
    </row>
    <row r="147" customFormat="false" ht="13.5" hidden="false" customHeight="true" outlineLevel="0" collapsed="false">
      <c r="A147" s="40" t="s">
        <v>429</v>
      </c>
      <c r="B147" s="41" t="s">
        <v>430</v>
      </c>
      <c r="C147" s="42" t="s">
        <v>247</v>
      </c>
      <c r="D147" s="43" t="n">
        <v>1</v>
      </c>
      <c r="E147" s="37" t="n">
        <v>33</v>
      </c>
      <c r="F147" s="37" t="n">
        <v>19</v>
      </c>
      <c r="G147" s="44" t="n">
        <f aca="false">E147+F147</f>
        <v>52</v>
      </c>
      <c r="H147" s="45" t="n">
        <f aca="false">ROUND(D147*G147,2)</f>
        <v>52</v>
      </c>
    </row>
    <row r="148" customFormat="false" ht="13.5" hidden="false" customHeight="true" outlineLevel="0" collapsed="false">
      <c r="A148" s="35" t="s">
        <v>431</v>
      </c>
      <c r="B148" s="16" t="s">
        <v>432</v>
      </c>
      <c r="C148" s="17" t="s">
        <v>247</v>
      </c>
      <c r="D148" s="36" t="n">
        <v>2</v>
      </c>
      <c r="E148" s="37" t="n">
        <v>39</v>
      </c>
      <c r="F148" s="37" t="n">
        <v>21</v>
      </c>
      <c r="G148" s="38" t="n">
        <f aca="false">E148+F148</f>
        <v>60</v>
      </c>
      <c r="H148" s="39" t="n">
        <f aca="false">ROUND(D148*G148,2)</f>
        <v>120</v>
      </c>
    </row>
    <row r="149" customFormat="false" ht="13.5" hidden="false" customHeight="true" outlineLevel="0" collapsed="false">
      <c r="A149" s="40" t="s">
        <v>433</v>
      </c>
      <c r="B149" s="41" t="s">
        <v>434</v>
      </c>
      <c r="C149" s="42" t="s">
        <v>247</v>
      </c>
      <c r="D149" s="43" t="n">
        <v>1</v>
      </c>
      <c r="E149" s="37" t="n">
        <v>59</v>
      </c>
      <c r="F149" s="37" t="n">
        <v>26</v>
      </c>
      <c r="G149" s="44" t="n">
        <f aca="false">E149+F149</f>
        <v>85</v>
      </c>
      <c r="H149" s="45" t="n">
        <f aca="false">ROUND(D149*G149,2)</f>
        <v>85</v>
      </c>
    </row>
    <row r="150" customFormat="false" ht="13.5" hidden="false" customHeight="true" outlineLevel="0" collapsed="false">
      <c r="A150" s="35" t="s">
        <v>435</v>
      </c>
      <c r="B150" s="16" t="s">
        <v>436</v>
      </c>
      <c r="C150" s="17" t="s">
        <v>247</v>
      </c>
      <c r="D150" s="36" t="n">
        <v>1</v>
      </c>
      <c r="E150" s="37" t="n">
        <v>112</v>
      </c>
      <c r="F150" s="37" t="n">
        <v>36</v>
      </c>
      <c r="G150" s="38" t="n">
        <f aca="false">E150+F150</f>
        <v>148</v>
      </c>
      <c r="H150" s="39" t="n">
        <f aca="false">ROUND(D150*G150,2)</f>
        <v>148</v>
      </c>
    </row>
    <row r="151" customFormat="false" ht="13.5" hidden="false" customHeight="true" outlineLevel="0" collapsed="false">
      <c r="A151" s="40" t="s">
        <v>437</v>
      </c>
      <c r="B151" s="41" t="s">
        <v>438</v>
      </c>
      <c r="C151" s="42" t="s">
        <v>247</v>
      </c>
      <c r="D151" s="43" t="n">
        <v>1</v>
      </c>
      <c r="E151" s="37" t="n">
        <v>59</v>
      </c>
      <c r="F151" s="37" t="n">
        <v>23</v>
      </c>
      <c r="G151" s="44" t="n">
        <f aca="false">E151+F151</f>
        <v>82</v>
      </c>
      <c r="H151" s="45" t="n">
        <f aca="false">ROUND(D151*G151,2)</f>
        <v>82</v>
      </c>
    </row>
    <row r="152" customFormat="false" ht="13.5" hidden="false" customHeight="true" outlineLevel="0" collapsed="false">
      <c r="A152" s="35" t="s">
        <v>439</v>
      </c>
      <c r="B152" s="16" t="s">
        <v>440</v>
      </c>
      <c r="C152" s="17" t="s">
        <v>247</v>
      </c>
      <c r="D152" s="36" t="n">
        <v>2</v>
      </c>
      <c r="E152" s="37" t="n">
        <v>63</v>
      </c>
      <c r="F152" s="37" t="n">
        <v>25</v>
      </c>
      <c r="G152" s="38" t="n">
        <f aca="false">E152+F152</f>
        <v>88</v>
      </c>
      <c r="H152" s="39" t="n">
        <f aca="false">ROUND(D152*G152,2)</f>
        <v>176</v>
      </c>
    </row>
    <row r="153" customFormat="false" ht="13.5" hidden="false" customHeight="true" outlineLevel="0" collapsed="false">
      <c r="A153" s="40" t="s">
        <v>441</v>
      </c>
      <c r="B153" s="41" t="s">
        <v>351</v>
      </c>
      <c r="C153" s="42" t="s">
        <v>247</v>
      </c>
      <c r="D153" s="43" t="n">
        <v>3</v>
      </c>
      <c r="E153" s="37" t="n">
        <v>73</v>
      </c>
      <c r="F153" s="37" t="n">
        <v>27</v>
      </c>
      <c r="G153" s="44" t="n">
        <f aca="false">E153+F153</f>
        <v>100</v>
      </c>
      <c r="H153" s="45" t="n">
        <f aca="false">ROUND(D153*G153,2)</f>
        <v>300</v>
      </c>
    </row>
    <row r="154" customFormat="false" ht="13.5" hidden="false" customHeight="true" outlineLevel="0" collapsed="false">
      <c r="A154" s="35" t="s">
        <v>442</v>
      </c>
      <c r="B154" s="16" t="s">
        <v>443</v>
      </c>
      <c r="C154" s="17" t="s">
        <v>247</v>
      </c>
      <c r="D154" s="36" t="n">
        <v>1</v>
      </c>
      <c r="E154" s="37" t="n">
        <v>83</v>
      </c>
      <c r="F154" s="37" t="n">
        <v>29</v>
      </c>
      <c r="G154" s="38" t="n">
        <f aca="false">E154+F154</f>
        <v>112</v>
      </c>
      <c r="H154" s="39" t="n">
        <f aca="false">ROUND(D154*G154,2)</f>
        <v>112</v>
      </c>
    </row>
    <row r="155" customFormat="false" ht="13.5" hidden="false" customHeight="true" outlineLevel="0" collapsed="false">
      <c r="A155" s="40" t="s">
        <v>444</v>
      </c>
      <c r="B155" s="41" t="s">
        <v>445</v>
      </c>
      <c r="C155" s="42" t="s">
        <v>247</v>
      </c>
      <c r="D155" s="43" t="n">
        <v>1</v>
      </c>
      <c r="E155" s="37" t="n">
        <v>630</v>
      </c>
      <c r="F155" s="37" t="n">
        <v>120</v>
      </c>
      <c r="G155" s="44" t="n">
        <f aca="false">E155+F155</f>
        <v>750</v>
      </c>
      <c r="H155" s="45" t="n">
        <f aca="false">ROUND(D155*G155,2)</f>
        <v>750</v>
      </c>
    </row>
    <row r="156" customFormat="false" ht="13.5" hidden="false" customHeight="true" outlineLevel="0" collapsed="false">
      <c r="A156" s="35" t="s">
        <v>446</v>
      </c>
      <c r="B156" s="16" t="s">
        <v>447</v>
      </c>
      <c r="C156" s="17" t="s">
        <v>247</v>
      </c>
      <c r="D156" s="36" t="n">
        <v>1</v>
      </c>
      <c r="E156" s="37" t="n">
        <v>690</v>
      </c>
      <c r="F156" s="37" t="n">
        <v>130</v>
      </c>
      <c r="G156" s="38" t="n">
        <f aca="false">E156+F156</f>
        <v>820</v>
      </c>
      <c r="H156" s="39" t="n">
        <f aca="false">ROUND(D156*G156,2)</f>
        <v>820</v>
      </c>
    </row>
    <row r="157" customFormat="false" ht="13.5" hidden="false" customHeight="true" outlineLevel="0" collapsed="false">
      <c r="A157" s="40" t="s">
        <v>448</v>
      </c>
      <c r="B157" s="41" t="s">
        <v>449</v>
      </c>
      <c r="C157" s="42" t="s">
        <v>221</v>
      </c>
      <c r="D157" s="43" t="n">
        <v>123.915</v>
      </c>
      <c r="E157" s="37" t="n">
        <v>34</v>
      </c>
      <c r="F157" s="37" t="n">
        <v>26</v>
      </c>
      <c r="G157" s="44" t="n">
        <f aca="false">E157+F157</f>
        <v>60</v>
      </c>
      <c r="H157" s="45" t="n">
        <f aca="false">ROUND(D157*G157,2)</f>
        <v>7434.9</v>
      </c>
    </row>
    <row r="158" customFormat="false" ht="13.5" hidden="false" customHeight="true" outlineLevel="0" collapsed="false">
      <c r="A158" s="35" t="s">
        <v>450</v>
      </c>
      <c r="B158" s="16" t="s">
        <v>451</v>
      </c>
      <c r="C158" s="17" t="s">
        <v>305</v>
      </c>
      <c r="D158" s="36" t="n">
        <v>6.982</v>
      </c>
      <c r="E158" s="37" t="n">
        <v>365</v>
      </c>
      <c r="F158" s="37" t="n">
        <v>195</v>
      </c>
      <c r="G158" s="38" t="n">
        <f aca="false">E158+F158</f>
        <v>560</v>
      </c>
      <c r="H158" s="39" t="n">
        <f aca="false">ROUND(D158*G158,2)</f>
        <v>3909.92</v>
      </c>
    </row>
    <row r="159" customFormat="false" ht="13.5" hidden="false" customHeight="true" outlineLevel="0" collapsed="false">
      <c r="A159" s="40" t="s">
        <v>452</v>
      </c>
      <c r="B159" s="41" t="s">
        <v>331</v>
      </c>
      <c r="C159" s="42" t="s">
        <v>221</v>
      </c>
      <c r="D159" s="43" t="n">
        <v>2.2</v>
      </c>
      <c r="E159" s="37" t="n">
        <v>43</v>
      </c>
      <c r="F159" s="37" t="n">
        <v>19</v>
      </c>
      <c r="G159" s="44" t="n">
        <f aca="false">E159+F159</f>
        <v>62</v>
      </c>
      <c r="H159" s="45" t="n">
        <f aca="false">ROUND(D159*G159,2)</f>
        <v>136.4</v>
      </c>
    </row>
    <row r="160" customFormat="false" ht="13.5" hidden="false" customHeight="true" outlineLevel="0" collapsed="false">
      <c r="A160" s="35" t="s">
        <v>453</v>
      </c>
      <c r="B160" s="16" t="s">
        <v>417</v>
      </c>
      <c r="C160" s="17" t="s">
        <v>334</v>
      </c>
      <c r="D160" s="36" t="n">
        <v>205.193</v>
      </c>
      <c r="E160" s="37" t="n">
        <v>2.7</v>
      </c>
      <c r="F160" s="37" t="n">
        <v>2.25</v>
      </c>
      <c r="G160" s="38" t="n">
        <f aca="false">E160+F160</f>
        <v>4.95</v>
      </c>
      <c r="H160" s="39" t="n">
        <f aca="false">ROUND(D160*G160,2)</f>
        <v>1015.71</v>
      </c>
    </row>
    <row r="161" customFormat="false" ht="13.5" hidden="false" customHeight="true" outlineLevel="0" collapsed="false">
      <c r="A161" s="40" t="s">
        <v>454</v>
      </c>
      <c r="B161" s="41" t="s">
        <v>419</v>
      </c>
      <c r="C161" s="42" t="s">
        <v>161</v>
      </c>
      <c r="D161" s="43" t="n">
        <v>1</v>
      </c>
      <c r="E161" s="37" t="n">
        <v>0</v>
      </c>
      <c r="F161" s="37" t="n">
        <v>2800</v>
      </c>
      <c r="G161" s="44" t="n">
        <f aca="false">E161+F161</f>
        <v>2800</v>
      </c>
      <c r="H161" s="45" t="n">
        <f aca="false">ROUND(D161*G161,2)</f>
        <v>2800</v>
      </c>
    </row>
    <row r="162" customFormat="false" ht="13.5" hidden="false" customHeight="true" outlineLevel="0" collapsed="false">
      <c r="A162" s="35" t="s">
        <v>455</v>
      </c>
      <c r="B162" s="16" t="s">
        <v>456</v>
      </c>
      <c r="C162" s="17" t="s">
        <v>161</v>
      </c>
      <c r="D162" s="36" t="n">
        <v>1</v>
      </c>
      <c r="E162" s="37" t="n">
        <v>0</v>
      </c>
      <c r="F162" s="37" t="n">
        <v>3600</v>
      </c>
      <c r="G162" s="38" t="n">
        <f aca="false">E162+F162</f>
        <v>3600</v>
      </c>
      <c r="H162" s="39" t="n">
        <f aca="false">ROUND(D162*G162,2)</f>
        <v>3600</v>
      </c>
    </row>
    <row r="163" customFormat="false" ht="21.75" hidden="false" customHeight="true" outlineLevel="0" collapsed="false">
      <c r="A163" s="40" t="s">
        <v>457</v>
      </c>
      <c r="B163" s="41" t="s">
        <v>458</v>
      </c>
      <c r="C163" s="42" t="s">
        <v>218</v>
      </c>
      <c r="D163" s="43" t="n">
        <v>1</v>
      </c>
      <c r="E163" s="37" t="n">
        <v>1480</v>
      </c>
      <c r="F163" s="37" t="n">
        <v>395</v>
      </c>
      <c r="G163" s="44" t="n">
        <f aca="false">E163+F163</f>
        <v>1875</v>
      </c>
      <c r="H163" s="45" t="n">
        <f aca="false">ROUND(D163*G163,2)</f>
        <v>1875</v>
      </c>
    </row>
    <row r="164" customFormat="false" ht="13.5" hidden="false" customHeight="true" outlineLevel="0" collapsed="false">
      <c r="A164" s="35" t="s">
        <v>459</v>
      </c>
      <c r="B164" s="16" t="s">
        <v>460</v>
      </c>
      <c r="C164" s="17" t="s">
        <v>218</v>
      </c>
      <c r="D164" s="36" t="n">
        <v>1</v>
      </c>
      <c r="E164" s="37" t="n">
        <v>2850</v>
      </c>
      <c r="F164" s="37" t="n">
        <v>540</v>
      </c>
      <c r="G164" s="38" t="n">
        <f aca="false">E164+F164</f>
        <v>3390</v>
      </c>
      <c r="H164" s="39" t="n">
        <f aca="false">ROUND(D164*G164,2)</f>
        <v>3390</v>
      </c>
    </row>
    <row r="165" customFormat="false" ht="13.5" hidden="false" customHeight="true" outlineLevel="0" collapsed="false">
      <c r="A165" s="40" t="s">
        <v>461</v>
      </c>
      <c r="B165" s="41" t="s">
        <v>462</v>
      </c>
      <c r="C165" s="42" t="s">
        <v>218</v>
      </c>
      <c r="D165" s="43" t="n">
        <v>7</v>
      </c>
      <c r="E165" s="37" t="n">
        <v>168</v>
      </c>
      <c r="F165" s="37" t="n">
        <v>68</v>
      </c>
      <c r="G165" s="44" t="n">
        <f aca="false">E165+F165</f>
        <v>236</v>
      </c>
      <c r="H165" s="45" t="n">
        <f aca="false">ROUND(D165*G165,2)</f>
        <v>1652</v>
      </c>
    </row>
    <row r="166" customFormat="false" ht="21.75" hidden="false" customHeight="true" outlineLevel="0" collapsed="false">
      <c r="A166" s="35" t="s">
        <v>463</v>
      </c>
      <c r="B166" s="16" t="s">
        <v>464</v>
      </c>
      <c r="C166" s="17" t="s">
        <v>218</v>
      </c>
      <c r="D166" s="36" t="n">
        <v>1</v>
      </c>
      <c r="E166" s="37" t="n">
        <v>3950</v>
      </c>
      <c r="F166" s="37" t="n">
        <v>640</v>
      </c>
      <c r="G166" s="38" t="n">
        <f aca="false">E166+F166</f>
        <v>4590</v>
      </c>
      <c r="H166" s="39" t="n">
        <f aca="false">ROUND(D166*G166,2)</f>
        <v>4590</v>
      </c>
    </row>
    <row r="167" customFormat="false" ht="13.5" hidden="false" customHeight="true" outlineLevel="0" collapsed="false">
      <c r="A167" s="40" t="s">
        <v>465</v>
      </c>
      <c r="B167" s="41" t="s">
        <v>466</v>
      </c>
      <c r="C167" s="42" t="s">
        <v>247</v>
      </c>
      <c r="D167" s="43" t="n">
        <v>1</v>
      </c>
      <c r="E167" s="37" t="n">
        <v>108</v>
      </c>
      <c r="F167" s="37" t="n">
        <v>33</v>
      </c>
      <c r="G167" s="44" t="n">
        <f aca="false">E167+F167</f>
        <v>141</v>
      </c>
      <c r="H167" s="45" t="n">
        <f aca="false">ROUND(D167*G167,2)</f>
        <v>141</v>
      </c>
    </row>
    <row r="168" customFormat="false" ht="13.5" hidden="false" customHeight="true" outlineLevel="0" collapsed="false">
      <c r="A168" s="35" t="s">
        <v>467</v>
      </c>
      <c r="B168" s="16" t="s">
        <v>468</v>
      </c>
      <c r="C168" s="17" t="s">
        <v>247</v>
      </c>
      <c r="D168" s="36" t="n">
        <v>1</v>
      </c>
      <c r="E168" s="37" t="n">
        <v>90</v>
      </c>
      <c r="F168" s="37" t="n">
        <v>31</v>
      </c>
      <c r="G168" s="38" t="n">
        <f aca="false">E168+F168</f>
        <v>121</v>
      </c>
      <c r="H168" s="39" t="n">
        <f aca="false">ROUND(D168*G168,2)</f>
        <v>121</v>
      </c>
    </row>
    <row r="169" customFormat="false" ht="13.5" hidden="false" customHeight="true" outlineLevel="0" collapsed="false">
      <c r="A169" s="40" t="s">
        <v>469</v>
      </c>
      <c r="B169" s="41" t="s">
        <v>470</v>
      </c>
      <c r="C169" s="42" t="s">
        <v>247</v>
      </c>
      <c r="D169" s="43" t="n">
        <v>1</v>
      </c>
      <c r="E169" s="37" t="n">
        <v>74</v>
      </c>
      <c r="F169" s="37" t="n">
        <v>29</v>
      </c>
      <c r="G169" s="44" t="n">
        <f aca="false">E169+F169</f>
        <v>103</v>
      </c>
      <c r="H169" s="45" t="n">
        <f aca="false">ROUND(D169*G169,2)</f>
        <v>103</v>
      </c>
    </row>
    <row r="170" customFormat="false" ht="13.5" hidden="false" customHeight="true" outlineLevel="0" collapsed="false">
      <c r="A170" s="35" t="s">
        <v>471</v>
      </c>
      <c r="B170" s="16" t="s">
        <v>472</v>
      </c>
      <c r="C170" s="17" t="s">
        <v>221</v>
      </c>
      <c r="D170" s="36" t="n">
        <v>48.3</v>
      </c>
      <c r="E170" s="37" t="n">
        <v>34</v>
      </c>
      <c r="F170" s="37" t="n">
        <v>26</v>
      </c>
      <c r="G170" s="38" t="n">
        <f aca="false">E170+F170</f>
        <v>60</v>
      </c>
      <c r="H170" s="39" t="n">
        <f aca="false">ROUND(D170*G170,2)</f>
        <v>2898</v>
      </c>
    </row>
    <row r="171" customFormat="false" ht="13.5" hidden="false" customHeight="true" outlineLevel="0" collapsed="false">
      <c r="A171" s="40" t="s">
        <v>473</v>
      </c>
      <c r="B171" s="41" t="s">
        <v>331</v>
      </c>
      <c r="C171" s="42" t="s">
        <v>221</v>
      </c>
      <c r="D171" s="43" t="n">
        <v>2.2</v>
      </c>
      <c r="E171" s="37" t="n">
        <v>43</v>
      </c>
      <c r="F171" s="37" t="n">
        <v>19</v>
      </c>
      <c r="G171" s="44" t="n">
        <f aca="false">E171+F171</f>
        <v>62</v>
      </c>
      <c r="H171" s="45" t="n">
        <f aca="false">ROUND(D171*G171,2)</f>
        <v>136.4</v>
      </c>
    </row>
    <row r="172" customFormat="false" ht="13.5" hidden="false" customHeight="true" outlineLevel="0" collapsed="false">
      <c r="A172" s="35" t="s">
        <v>474</v>
      </c>
      <c r="B172" s="16" t="s">
        <v>417</v>
      </c>
      <c r="C172" s="17" t="s">
        <v>334</v>
      </c>
      <c r="D172" s="36" t="n">
        <v>89.2</v>
      </c>
      <c r="E172" s="37" t="n">
        <v>2.7</v>
      </c>
      <c r="F172" s="37" t="n">
        <v>2.25</v>
      </c>
      <c r="G172" s="38" t="n">
        <f aca="false">E172+F172</f>
        <v>4.95</v>
      </c>
      <c r="H172" s="39" t="n">
        <f aca="false">ROUND(D172*G172,2)</f>
        <v>441.54</v>
      </c>
    </row>
    <row r="173" customFormat="false" ht="13.5" hidden="false" customHeight="true" outlineLevel="0" collapsed="false">
      <c r="A173" s="40" t="s">
        <v>475</v>
      </c>
      <c r="B173" s="41" t="s">
        <v>476</v>
      </c>
      <c r="C173" s="42" t="s">
        <v>161</v>
      </c>
      <c r="D173" s="43" t="n">
        <v>1</v>
      </c>
      <c r="E173" s="37" t="n">
        <v>3800</v>
      </c>
      <c r="F173" s="37" t="n">
        <v>0</v>
      </c>
      <c r="G173" s="44" t="n">
        <f aca="false">E173+F173</f>
        <v>3800</v>
      </c>
      <c r="H173" s="45" t="n">
        <f aca="false">ROUND(D173*G173,2)</f>
        <v>3800</v>
      </c>
    </row>
    <row r="174" customFormat="false" ht="13.5" hidden="false" customHeight="true" outlineLevel="0" collapsed="false">
      <c r="A174" s="35" t="s">
        <v>477</v>
      </c>
      <c r="B174" s="16" t="s">
        <v>419</v>
      </c>
      <c r="C174" s="17" t="s">
        <v>161</v>
      </c>
      <c r="D174" s="36" t="n">
        <v>1</v>
      </c>
      <c r="E174" s="37" t="n">
        <v>0</v>
      </c>
      <c r="F174" s="37" t="n">
        <v>2400</v>
      </c>
      <c r="G174" s="38" t="n">
        <f aca="false">E174+F174</f>
        <v>2400</v>
      </c>
      <c r="H174" s="39" t="n">
        <f aca="false">ROUND(D174*G174,2)</f>
        <v>2400</v>
      </c>
    </row>
    <row r="175" customFormat="false" ht="13.5" hidden="false" customHeight="true" outlineLevel="0" collapsed="false">
      <c r="A175" s="40" t="s">
        <v>478</v>
      </c>
      <c r="B175" s="41" t="s">
        <v>479</v>
      </c>
      <c r="C175" s="42" t="s">
        <v>161</v>
      </c>
      <c r="D175" s="43" t="n">
        <v>1</v>
      </c>
      <c r="E175" s="37" t="n">
        <v>0</v>
      </c>
      <c r="F175" s="37" t="n">
        <v>3400</v>
      </c>
      <c r="G175" s="44" t="n">
        <f aca="false">E175+F175</f>
        <v>3400</v>
      </c>
      <c r="H175" s="45" t="n">
        <f aca="false">ROUND(D175*G175,2)</f>
        <v>3400</v>
      </c>
    </row>
    <row r="176" customFormat="false" ht="13.5" hidden="false" customHeight="true" outlineLevel="0" collapsed="false">
      <c r="A176" s="35" t="s">
        <v>480</v>
      </c>
      <c r="B176" s="16" t="s">
        <v>481</v>
      </c>
      <c r="C176" s="17" t="s">
        <v>161</v>
      </c>
      <c r="D176" s="36" t="n">
        <v>1</v>
      </c>
      <c r="E176" s="37" t="n">
        <v>0</v>
      </c>
      <c r="F176" s="37" t="n">
        <v>9800</v>
      </c>
      <c r="G176" s="38" t="n">
        <f aca="false">E176+F176</f>
        <v>9800</v>
      </c>
      <c r="H176" s="39" t="n">
        <f aca="false">ROUND(D176*G176,2)</f>
        <v>9800</v>
      </c>
    </row>
    <row r="177" customFormat="false" ht="19.5" hidden="false" customHeight="true" outlineLevel="0" collapsed="false">
      <c r="A177" s="21" t="s">
        <v>482</v>
      </c>
      <c r="B177" s="46" t="s">
        <v>483</v>
      </c>
      <c r="C177" s="46"/>
      <c r="D177" s="46"/>
      <c r="E177" s="46"/>
      <c r="F177" s="46"/>
      <c r="G177" s="46"/>
      <c r="H177" s="47" t="n">
        <f aca="false">SUM(H66:H176)</f>
        <v>365367</v>
      </c>
    </row>
    <row r="179" customFormat="false" ht="19.5" hidden="false" customHeight="true" outlineLevel="0" collapsed="false">
      <c r="A179" s="34" t="s">
        <v>484</v>
      </c>
      <c r="B179" s="34"/>
      <c r="C179" s="34"/>
      <c r="D179" s="34"/>
      <c r="E179" s="34"/>
      <c r="F179" s="34"/>
      <c r="G179" s="34"/>
      <c r="H179" s="34"/>
    </row>
    <row r="180" customFormat="false" ht="21.75" hidden="false" customHeight="true" outlineLevel="0" collapsed="false">
      <c r="A180" s="35" t="s">
        <v>485</v>
      </c>
      <c r="B180" s="16" t="s">
        <v>486</v>
      </c>
      <c r="C180" s="17" t="s">
        <v>218</v>
      </c>
      <c r="D180" s="36" t="n">
        <v>1</v>
      </c>
      <c r="E180" s="37" t="n">
        <v>18500</v>
      </c>
      <c r="F180" s="37" t="n">
        <v>2900</v>
      </c>
      <c r="G180" s="38" t="n">
        <f aca="false">E180+F180</f>
        <v>21400</v>
      </c>
      <c r="H180" s="39" t="n">
        <f aca="false">ROUND(D180*G180,2)</f>
        <v>21400</v>
      </c>
    </row>
    <row r="181" customFormat="false" ht="21.75" hidden="false" customHeight="true" outlineLevel="0" collapsed="false">
      <c r="A181" s="40" t="s">
        <v>487</v>
      </c>
      <c r="B181" s="41" t="s">
        <v>488</v>
      </c>
      <c r="C181" s="42" t="s">
        <v>161</v>
      </c>
      <c r="D181" s="43" t="n">
        <v>1</v>
      </c>
      <c r="E181" s="37" t="n">
        <v>0</v>
      </c>
      <c r="F181" s="37" t="n">
        <v>6800</v>
      </c>
      <c r="G181" s="44" t="n">
        <f aca="false">E181+F181</f>
        <v>6800</v>
      </c>
      <c r="H181" s="45" t="n">
        <f aca="false">ROUND(D181*G181,2)</f>
        <v>6800</v>
      </c>
    </row>
    <row r="182" customFormat="false" ht="21.75" hidden="false" customHeight="true" outlineLevel="0" collapsed="false">
      <c r="A182" s="35" t="s">
        <v>489</v>
      </c>
      <c r="B182" s="16" t="s">
        <v>490</v>
      </c>
      <c r="C182" s="17" t="s">
        <v>218</v>
      </c>
      <c r="D182" s="36" t="n">
        <v>1</v>
      </c>
      <c r="E182" s="37" t="n">
        <v>5200</v>
      </c>
      <c r="F182" s="37" t="n">
        <v>880</v>
      </c>
      <c r="G182" s="38" t="n">
        <f aca="false">E182+F182</f>
        <v>6080</v>
      </c>
      <c r="H182" s="39" t="n">
        <f aca="false">ROUND(D182*G182,2)</f>
        <v>6080</v>
      </c>
    </row>
    <row r="183" customFormat="false" ht="13.5" hidden="false" customHeight="true" outlineLevel="0" collapsed="false">
      <c r="A183" s="40" t="s">
        <v>491</v>
      </c>
      <c r="B183" s="41" t="s">
        <v>492</v>
      </c>
      <c r="C183" s="42" t="s">
        <v>218</v>
      </c>
      <c r="D183" s="43" t="n">
        <v>1</v>
      </c>
      <c r="E183" s="37" t="n">
        <v>3800</v>
      </c>
      <c r="F183" s="37" t="n">
        <v>720</v>
      </c>
      <c r="G183" s="44" t="n">
        <f aca="false">E183+F183</f>
        <v>4520</v>
      </c>
      <c r="H183" s="45" t="n">
        <f aca="false">ROUND(D183*G183,2)</f>
        <v>4520</v>
      </c>
    </row>
    <row r="184" customFormat="false" ht="13.5" hidden="false" customHeight="true" outlineLevel="0" collapsed="false">
      <c r="A184" s="35" t="s">
        <v>493</v>
      </c>
      <c r="B184" s="16" t="s">
        <v>494</v>
      </c>
      <c r="C184" s="17" t="s">
        <v>218</v>
      </c>
      <c r="D184" s="36" t="n">
        <v>1</v>
      </c>
      <c r="E184" s="37" t="n">
        <v>4600</v>
      </c>
      <c r="F184" s="37" t="n">
        <v>800</v>
      </c>
      <c r="G184" s="38" t="n">
        <f aca="false">E184+F184</f>
        <v>5400</v>
      </c>
      <c r="H184" s="39" t="n">
        <f aca="false">ROUND(D184*G184,2)</f>
        <v>5400</v>
      </c>
    </row>
    <row r="185" customFormat="false" ht="13.5" hidden="false" customHeight="true" outlineLevel="0" collapsed="false">
      <c r="A185" s="40" t="s">
        <v>495</v>
      </c>
      <c r="B185" s="41" t="s">
        <v>496</v>
      </c>
      <c r="C185" s="42" t="s">
        <v>218</v>
      </c>
      <c r="D185" s="43" t="n">
        <v>1</v>
      </c>
      <c r="E185" s="37" t="n">
        <v>3400</v>
      </c>
      <c r="F185" s="37" t="n">
        <v>670</v>
      </c>
      <c r="G185" s="44" t="n">
        <f aca="false">E185+F185</f>
        <v>4070</v>
      </c>
      <c r="H185" s="45" t="n">
        <f aca="false">ROUND(D185*G185,2)</f>
        <v>4070</v>
      </c>
    </row>
    <row r="186" customFormat="false" ht="13.5" hidden="false" customHeight="true" outlineLevel="0" collapsed="false">
      <c r="A186" s="35" t="s">
        <v>497</v>
      </c>
      <c r="B186" s="16" t="s">
        <v>498</v>
      </c>
      <c r="C186" s="17" t="s">
        <v>218</v>
      </c>
      <c r="D186" s="36" t="n">
        <v>1</v>
      </c>
      <c r="E186" s="37" t="n">
        <v>3400</v>
      </c>
      <c r="F186" s="37" t="n">
        <v>670</v>
      </c>
      <c r="G186" s="38" t="n">
        <f aca="false">E186+F186</f>
        <v>4070</v>
      </c>
      <c r="H186" s="39" t="n">
        <f aca="false">ROUND(D186*G186,2)</f>
        <v>4070</v>
      </c>
    </row>
    <row r="187" customFormat="false" ht="13.5" hidden="false" customHeight="true" outlineLevel="0" collapsed="false">
      <c r="A187" s="40" t="s">
        <v>499</v>
      </c>
      <c r="B187" s="41" t="s">
        <v>500</v>
      </c>
      <c r="C187" s="42" t="s">
        <v>218</v>
      </c>
      <c r="D187" s="43" t="n">
        <v>1</v>
      </c>
      <c r="E187" s="37" t="n">
        <v>3900</v>
      </c>
      <c r="F187" s="37" t="n">
        <v>720</v>
      </c>
      <c r="G187" s="44" t="n">
        <f aca="false">E187+F187</f>
        <v>4620</v>
      </c>
      <c r="H187" s="45" t="n">
        <f aca="false">ROUND(D187*G187,2)</f>
        <v>4620</v>
      </c>
    </row>
    <row r="188" customFormat="false" ht="13.5" hidden="false" customHeight="true" outlineLevel="0" collapsed="false">
      <c r="A188" s="35" t="s">
        <v>501</v>
      </c>
      <c r="B188" s="16" t="s">
        <v>502</v>
      </c>
      <c r="C188" s="17" t="s">
        <v>218</v>
      </c>
      <c r="D188" s="36" t="n">
        <v>1</v>
      </c>
      <c r="E188" s="37" t="n">
        <v>3900</v>
      </c>
      <c r="F188" s="37" t="n">
        <v>720</v>
      </c>
      <c r="G188" s="38" t="n">
        <f aca="false">E188+F188</f>
        <v>4620</v>
      </c>
      <c r="H188" s="39" t="n">
        <f aca="false">ROUND(D188*G188,2)</f>
        <v>4620</v>
      </c>
    </row>
    <row r="189" customFormat="false" ht="13.5" hidden="false" customHeight="true" outlineLevel="0" collapsed="false">
      <c r="A189" s="40" t="s">
        <v>503</v>
      </c>
      <c r="B189" s="41" t="s">
        <v>504</v>
      </c>
      <c r="C189" s="42" t="s">
        <v>218</v>
      </c>
      <c r="D189" s="43" t="n">
        <v>1</v>
      </c>
      <c r="E189" s="37" t="n">
        <v>2900</v>
      </c>
      <c r="F189" s="37" t="n">
        <v>620</v>
      </c>
      <c r="G189" s="44" t="n">
        <f aca="false">E189+F189</f>
        <v>3520</v>
      </c>
      <c r="H189" s="45" t="n">
        <f aca="false">ROUND(D189*G189,2)</f>
        <v>3520</v>
      </c>
    </row>
    <row r="190" customFormat="false" ht="21.75" hidden="false" customHeight="true" outlineLevel="0" collapsed="false">
      <c r="A190" s="35" t="s">
        <v>505</v>
      </c>
      <c r="B190" s="16" t="s">
        <v>506</v>
      </c>
      <c r="C190" s="17" t="s">
        <v>228</v>
      </c>
      <c r="D190" s="36" t="n">
        <v>212</v>
      </c>
      <c r="E190" s="37" t="n">
        <v>47</v>
      </c>
      <c r="F190" s="37" t="n">
        <v>23</v>
      </c>
      <c r="G190" s="38" t="n">
        <f aca="false">E190+F190</f>
        <v>70</v>
      </c>
      <c r="H190" s="39" t="n">
        <f aca="false">ROUND(D190*G190,2)</f>
        <v>14840</v>
      </c>
    </row>
    <row r="191" customFormat="false" ht="21.75" hidden="false" customHeight="true" outlineLevel="0" collapsed="false">
      <c r="A191" s="40" t="s">
        <v>507</v>
      </c>
      <c r="B191" s="41" t="s">
        <v>508</v>
      </c>
      <c r="C191" s="42" t="s">
        <v>228</v>
      </c>
      <c r="D191" s="43" t="n">
        <v>8.47</v>
      </c>
      <c r="E191" s="37" t="n">
        <v>33</v>
      </c>
      <c r="F191" s="37" t="n">
        <v>19</v>
      </c>
      <c r="G191" s="44" t="n">
        <f aca="false">E191+F191</f>
        <v>52</v>
      </c>
      <c r="H191" s="45" t="n">
        <f aca="false">ROUND(D191*G191,2)</f>
        <v>440.44</v>
      </c>
    </row>
    <row r="192" customFormat="false" ht="21.75" hidden="false" customHeight="true" outlineLevel="0" collapsed="false">
      <c r="A192" s="35" t="s">
        <v>509</v>
      </c>
      <c r="B192" s="16" t="s">
        <v>510</v>
      </c>
      <c r="C192" s="17" t="s">
        <v>228</v>
      </c>
      <c r="D192" s="36" t="n">
        <v>41.53</v>
      </c>
      <c r="E192" s="37" t="n">
        <v>19</v>
      </c>
      <c r="F192" s="37" t="n">
        <v>13</v>
      </c>
      <c r="G192" s="38" t="n">
        <f aca="false">E192+F192</f>
        <v>32</v>
      </c>
      <c r="H192" s="39" t="n">
        <f aca="false">ROUND(D192*G192,2)</f>
        <v>1328.96</v>
      </c>
    </row>
    <row r="193" customFormat="false" ht="21.75" hidden="false" customHeight="true" outlineLevel="0" collapsed="false">
      <c r="A193" s="40" t="s">
        <v>511</v>
      </c>
      <c r="B193" s="41" t="s">
        <v>512</v>
      </c>
      <c r="C193" s="42" t="s">
        <v>228</v>
      </c>
      <c r="D193" s="43" t="n">
        <v>374.4</v>
      </c>
      <c r="E193" s="37" t="n">
        <v>3.3</v>
      </c>
      <c r="F193" s="37" t="n">
        <v>4.9</v>
      </c>
      <c r="G193" s="44" t="n">
        <f aca="false">E193+F193</f>
        <v>8.2</v>
      </c>
      <c r="H193" s="45" t="n">
        <f aca="false">ROUND(D193*G193,2)</f>
        <v>3070.08</v>
      </c>
    </row>
    <row r="194" customFormat="false" ht="21.75" hidden="false" customHeight="true" outlineLevel="0" collapsed="false">
      <c r="A194" s="35" t="s">
        <v>513</v>
      </c>
      <c r="B194" s="16" t="s">
        <v>514</v>
      </c>
      <c r="C194" s="17" t="s">
        <v>228</v>
      </c>
      <c r="D194" s="36" t="n">
        <v>987.49</v>
      </c>
      <c r="E194" s="37" t="n">
        <v>3.7</v>
      </c>
      <c r="F194" s="37" t="n">
        <v>5.3</v>
      </c>
      <c r="G194" s="38" t="n">
        <f aca="false">E194+F194</f>
        <v>9</v>
      </c>
      <c r="H194" s="39" t="n">
        <f aca="false">ROUND(D194*G194,2)</f>
        <v>8887.41</v>
      </c>
    </row>
    <row r="195" customFormat="false" ht="21.75" hidden="false" customHeight="true" outlineLevel="0" collapsed="false">
      <c r="A195" s="40" t="s">
        <v>515</v>
      </c>
      <c r="B195" s="41" t="s">
        <v>516</v>
      </c>
      <c r="C195" s="42" t="s">
        <v>228</v>
      </c>
      <c r="D195" s="43" t="n">
        <v>586.17</v>
      </c>
      <c r="E195" s="37" t="n">
        <v>4.5</v>
      </c>
      <c r="F195" s="37" t="n">
        <v>5.7</v>
      </c>
      <c r="G195" s="44" t="n">
        <f aca="false">E195+F195</f>
        <v>10.2</v>
      </c>
      <c r="H195" s="45" t="n">
        <f aca="false">ROUND(D195*G195,2)</f>
        <v>5978.93</v>
      </c>
    </row>
    <row r="196" customFormat="false" ht="21.75" hidden="false" customHeight="true" outlineLevel="0" collapsed="false">
      <c r="A196" s="35" t="s">
        <v>517</v>
      </c>
      <c r="B196" s="16" t="s">
        <v>518</v>
      </c>
      <c r="C196" s="17" t="s">
        <v>228</v>
      </c>
      <c r="D196" s="36" t="n">
        <v>176.71</v>
      </c>
      <c r="E196" s="37" t="n">
        <v>5.7</v>
      </c>
      <c r="F196" s="37" t="n">
        <v>6.3</v>
      </c>
      <c r="G196" s="38" t="n">
        <f aca="false">E196+F196</f>
        <v>12</v>
      </c>
      <c r="H196" s="39" t="n">
        <f aca="false">ROUND(D196*G196,2)</f>
        <v>2120.52</v>
      </c>
    </row>
    <row r="197" customFormat="false" ht="21.75" hidden="false" customHeight="true" outlineLevel="0" collapsed="false">
      <c r="A197" s="40" t="s">
        <v>519</v>
      </c>
      <c r="B197" s="41" t="s">
        <v>520</v>
      </c>
      <c r="C197" s="42" t="s">
        <v>228</v>
      </c>
      <c r="D197" s="43" t="n">
        <v>13.14</v>
      </c>
      <c r="E197" s="37" t="n">
        <v>7.9</v>
      </c>
      <c r="F197" s="37" t="n">
        <v>7.1</v>
      </c>
      <c r="G197" s="44" t="n">
        <f aca="false">E197+F197</f>
        <v>15</v>
      </c>
      <c r="H197" s="45" t="n">
        <f aca="false">ROUND(D197*G197,2)</f>
        <v>197.1</v>
      </c>
    </row>
    <row r="198" customFormat="false" ht="21.75" hidden="false" customHeight="true" outlineLevel="0" collapsed="false">
      <c r="A198" s="35" t="s">
        <v>521</v>
      </c>
      <c r="B198" s="16" t="s">
        <v>522</v>
      </c>
      <c r="C198" s="17" t="s">
        <v>228</v>
      </c>
      <c r="D198" s="36" t="n">
        <v>464.53</v>
      </c>
      <c r="E198" s="37" t="n">
        <v>12.6</v>
      </c>
      <c r="F198" s="37" t="n">
        <v>9.6</v>
      </c>
      <c r="G198" s="38" t="n">
        <f aca="false">E198+F198</f>
        <v>22.2</v>
      </c>
      <c r="H198" s="39" t="n">
        <f aca="false">ROUND(D198*G198,2)</f>
        <v>10312.57</v>
      </c>
    </row>
    <row r="199" customFormat="false" ht="13.5" hidden="false" customHeight="true" outlineLevel="0" collapsed="false">
      <c r="A199" s="40" t="s">
        <v>523</v>
      </c>
      <c r="B199" s="41" t="s">
        <v>524</v>
      </c>
      <c r="C199" s="42" t="s">
        <v>228</v>
      </c>
      <c r="D199" s="43" t="n">
        <v>2.25</v>
      </c>
      <c r="E199" s="37" t="n">
        <v>28.5</v>
      </c>
      <c r="F199" s="37" t="n">
        <v>16.5</v>
      </c>
      <c r="G199" s="44" t="n">
        <f aca="false">E199+F199</f>
        <v>45</v>
      </c>
      <c r="H199" s="45" t="n">
        <f aca="false">ROUND(D199*G199,2)</f>
        <v>101.25</v>
      </c>
    </row>
    <row r="200" customFormat="false" ht="21.75" hidden="false" customHeight="true" outlineLevel="0" collapsed="false">
      <c r="A200" s="35" t="s">
        <v>525</v>
      </c>
      <c r="B200" s="16" t="s">
        <v>526</v>
      </c>
      <c r="C200" s="17" t="s">
        <v>228</v>
      </c>
      <c r="D200" s="36" t="n">
        <v>50</v>
      </c>
      <c r="E200" s="37" t="n">
        <v>119</v>
      </c>
      <c r="F200" s="37" t="n">
        <v>23</v>
      </c>
      <c r="G200" s="38" t="n">
        <f aca="false">E200+F200</f>
        <v>142</v>
      </c>
      <c r="H200" s="39" t="n">
        <f aca="false">ROUND(D200*G200,2)</f>
        <v>7100</v>
      </c>
    </row>
    <row r="201" customFormat="false" ht="13.5" hidden="false" customHeight="true" outlineLevel="0" collapsed="false">
      <c r="A201" s="40" t="s">
        <v>527</v>
      </c>
      <c r="B201" s="41" t="s">
        <v>528</v>
      </c>
      <c r="C201" s="42" t="s">
        <v>228</v>
      </c>
      <c r="D201" s="43" t="n">
        <v>175</v>
      </c>
      <c r="E201" s="37" t="n">
        <v>99</v>
      </c>
      <c r="F201" s="37" t="n">
        <v>21</v>
      </c>
      <c r="G201" s="44" t="n">
        <f aca="false">E201+F201</f>
        <v>120</v>
      </c>
      <c r="H201" s="45" t="n">
        <f aca="false">ROUND(D201*G201,2)</f>
        <v>21000</v>
      </c>
    </row>
    <row r="202" customFormat="false" ht="13.5" hidden="false" customHeight="true" outlineLevel="0" collapsed="false">
      <c r="A202" s="35" t="s">
        <v>529</v>
      </c>
      <c r="B202" s="16" t="s">
        <v>530</v>
      </c>
      <c r="C202" s="17" t="s">
        <v>228</v>
      </c>
      <c r="D202" s="36" t="n">
        <v>84.6</v>
      </c>
      <c r="E202" s="37" t="n">
        <v>63</v>
      </c>
      <c r="F202" s="37" t="n">
        <v>17</v>
      </c>
      <c r="G202" s="38" t="n">
        <f aca="false">E202+F202</f>
        <v>80</v>
      </c>
      <c r="H202" s="39" t="n">
        <f aca="false">ROUND(D202*G202,2)</f>
        <v>6768</v>
      </c>
    </row>
    <row r="203" customFormat="false" ht="13.5" hidden="false" customHeight="true" outlineLevel="0" collapsed="false">
      <c r="A203" s="40" t="s">
        <v>531</v>
      </c>
      <c r="B203" s="41" t="s">
        <v>532</v>
      </c>
      <c r="C203" s="42" t="s">
        <v>228</v>
      </c>
      <c r="D203" s="43" t="n">
        <v>11.9</v>
      </c>
      <c r="E203" s="37" t="n">
        <v>47</v>
      </c>
      <c r="F203" s="37" t="n">
        <v>15</v>
      </c>
      <c r="G203" s="44" t="n">
        <f aca="false">E203+F203</f>
        <v>62</v>
      </c>
      <c r="H203" s="45" t="n">
        <f aca="false">ROUND(D203*G203,2)</f>
        <v>737.8</v>
      </c>
    </row>
    <row r="204" customFormat="false" ht="13.5" hidden="false" customHeight="true" outlineLevel="0" collapsed="false">
      <c r="A204" s="35" t="s">
        <v>533</v>
      </c>
      <c r="B204" s="16" t="s">
        <v>534</v>
      </c>
      <c r="C204" s="17" t="s">
        <v>228</v>
      </c>
      <c r="D204" s="36" t="n">
        <v>64.95</v>
      </c>
      <c r="E204" s="37" t="n">
        <v>24.5</v>
      </c>
      <c r="F204" s="37" t="n">
        <v>9.5</v>
      </c>
      <c r="G204" s="38" t="n">
        <f aca="false">E204+F204</f>
        <v>34</v>
      </c>
      <c r="H204" s="39" t="n">
        <f aca="false">ROUND(D204*G204,2)</f>
        <v>2208.3</v>
      </c>
    </row>
    <row r="205" customFormat="false" ht="13.5" hidden="false" customHeight="true" outlineLevel="0" collapsed="false">
      <c r="A205" s="40" t="s">
        <v>535</v>
      </c>
      <c r="B205" s="41" t="s">
        <v>536</v>
      </c>
      <c r="C205" s="42" t="s">
        <v>228</v>
      </c>
      <c r="D205" s="43" t="n">
        <v>396</v>
      </c>
      <c r="E205" s="37" t="n">
        <v>15.8</v>
      </c>
      <c r="F205" s="37" t="n">
        <v>7.8</v>
      </c>
      <c r="G205" s="44" t="n">
        <f aca="false">E205+F205</f>
        <v>23.6</v>
      </c>
      <c r="H205" s="45" t="n">
        <f aca="false">ROUND(D205*G205,2)</f>
        <v>9345.6</v>
      </c>
    </row>
    <row r="206" customFormat="false" ht="13.5" hidden="false" customHeight="true" outlineLevel="0" collapsed="false">
      <c r="A206" s="35" t="s">
        <v>537</v>
      </c>
      <c r="B206" s="16" t="s">
        <v>538</v>
      </c>
      <c r="C206" s="17" t="s">
        <v>228</v>
      </c>
      <c r="D206" s="36" t="n">
        <v>66</v>
      </c>
      <c r="E206" s="37" t="n">
        <v>16.8</v>
      </c>
      <c r="F206" s="37" t="n">
        <v>8.2</v>
      </c>
      <c r="G206" s="38" t="n">
        <f aca="false">E206+F206</f>
        <v>25</v>
      </c>
      <c r="H206" s="39" t="n">
        <f aca="false">ROUND(D206*G206,2)</f>
        <v>1650</v>
      </c>
    </row>
    <row r="207" customFormat="false" ht="13.5" hidden="false" customHeight="true" outlineLevel="0" collapsed="false">
      <c r="A207" s="40" t="s">
        <v>539</v>
      </c>
      <c r="B207" s="41" t="s">
        <v>540</v>
      </c>
      <c r="C207" s="42" t="s">
        <v>228</v>
      </c>
      <c r="D207" s="43" t="n">
        <v>64.54</v>
      </c>
      <c r="E207" s="37" t="n">
        <v>11.2</v>
      </c>
      <c r="F207" s="37" t="n">
        <v>6.8</v>
      </c>
      <c r="G207" s="44" t="n">
        <f aca="false">E207+F207</f>
        <v>18</v>
      </c>
      <c r="H207" s="45" t="n">
        <f aca="false">ROUND(D207*G207,2)</f>
        <v>1161.72</v>
      </c>
    </row>
    <row r="208" customFormat="false" ht="13.5" hidden="false" customHeight="true" outlineLevel="0" collapsed="false">
      <c r="A208" s="35" t="s">
        <v>541</v>
      </c>
      <c r="B208" s="16" t="s">
        <v>542</v>
      </c>
      <c r="C208" s="17" t="s">
        <v>228</v>
      </c>
      <c r="D208" s="36" t="n">
        <v>86.94</v>
      </c>
      <c r="E208" s="37" t="n">
        <v>8.4</v>
      </c>
      <c r="F208" s="37" t="n">
        <v>6.2</v>
      </c>
      <c r="G208" s="38" t="n">
        <f aca="false">E208+F208</f>
        <v>14.6</v>
      </c>
      <c r="H208" s="39" t="n">
        <f aca="false">ROUND(D208*G208,2)</f>
        <v>1269.32</v>
      </c>
    </row>
    <row r="209" customFormat="false" ht="13.5" hidden="false" customHeight="true" outlineLevel="0" collapsed="false">
      <c r="A209" s="40" t="s">
        <v>543</v>
      </c>
      <c r="B209" s="41" t="s">
        <v>544</v>
      </c>
      <c r="C209" s="42" t="s">
        <v>228</v>
      </c>
      <c r="D209" s="43" t="n">
        <v>40.86</v>
      </c>
      <c r="E209" s="37" t="n">
        <v>5.8</v>
      </c>
      <c r="F209" s="37" t="n">
        <v>5.4</v>
      </c>
      <c r="G209" s="44" t="n">
        <f aca="false">E209+F209</f>
        <v>11.2</v>
      </c>
      <c r="H209" s="45" t="n">
        <f aca="false">ROUND(D209*G209,2)</f>
        <v>457.63</v>
      </c>
    </row>
    <row r="210" customFormat="false" ht="21.75" hidden="false" customHeight="true" outlineLevel="0" collapsed="false">
      <c r="A210" s="35" t="s">
        <v>545</v>
      </c>
      <c r="B210" s="16" t="s">
        <v>546</v>
      </c>
      <c r="C210" s="17" t="s">
        <v>247</v>
      </c>
      <c r="D210" s="36" t="n">
        <v>8</v>
      </c>
      <c r="E210" s="37" t="n">
        <v>70</v>
      </c>
      <c r="F210" s="37" t="n">
        <v>44</v>
      </c>
      <c r="G210" s="38" t="n">
        <f aca="false">E210+F210</f>
        <v>114</v>
      </c>
      <c r="H210" s="39" t="n">
        <f aca="false">ROUND(D210*G210,2)</f>
        <v>912</v>
      </c>
    </row>
    <row r="211" customFormat="false" ht="21.75" hidden="false" customHeight="true" outlineLevel="0" collapsed="false">
      <c r="A211" s="40" t="s">
        <v>547</v>
      </c>
      <c r="B211" s="41" t="s">
        <v>548</v>
      </c>
      <c r="C211" s="42" t="s">
        <v>247</v>
      </c>
      <c r="D211" s="43" t="n">
        <v>38</v>
      </c>
      <c r="E211" s="37" t="n">
        <v>44</v>
      </c>
      <c r="F211" s="37" t="n">
        <v>29</v>
      </c>
      <c r="G211" s="44" t="n">
        <f aca="false">E211+F211</f>
        <v>73</v>
      </c>
      <c r="H211" s="45" t="n">
        <f aca="false">ROUND(D211*G211,2)</f>
        <v>2774</v>
      </c>
    </row>
    <row r="212" customFormat="false" ht="21.75" hidden="false" customHeight="true" outlineLevel="0" collapsed="false">
      <c r="A212" s="35" t="s">
        <v>549</v>
      </c>
      <c r="B212" s="16" t="s">
        <v>550</v>
      </c>
      <c r="C212" s="17" t="s">
        <v>247</v>
      </c>
      <c r="D212" s="36" t="n">
        <v>50</v>
      </c>
      <c r="E212" s="37" t="n">
        <v>25</v>
      </c>
      <c r="F212" s="37" t="n">
        <v>19</v>
      </c>
      <c r="G212" s="38" t="n">
        <f aca="false">E212+F212</f>
        <v>44</v>
      </c>
      <c r="H212" s="39" t="n">
        <f aca="false">ROUND(D212*G212,2)</f>
        <v>2200</v>
      </c>
    </row>
    <row r="213" customFormat="false" ht="21.75" hidden="false" customHeight="true" outlineLevel="0" collapsed="false">
      <c r="A213" s="40" t="s">
        <v>551</v>
      </c>
      <c r="B213" s="41" t="s">
        <v>552</v>
      </c>
      <c r="C213" s="42" t="s">
        <v>228</v>
      </c>
      <c r="D213" s="43" t="n">
        <v>257.24</v>
      </c>
      <c r="E213" s="37" t="n">
        <v>1.15</v>
      </c>
      <c r="F213" s="37" t="n">
        <v>1.35</v>
      </c>
      <c r="G213" s="44" t="n">
        <f aca="false">E213+F213</f>
        <v>2.5</v>
      </c>
      <c r="H213" s="45" t="n">
        <f aca="false">ROUND(D213*G213,2)</f>
        <v>643.1</v>
      </c>
    </row>
    <row r="214" customFormat="false" ht="13.5" hidden="false" customHeight="true" outlineLevel="0" collapsed="false">
      <c r="A214" s="35" t="s">
        <v>553</v>
      </c>
      <c r="B214" s="16" t="s">
        <v>554</v>
      </c>
      <c r="C214" s="17" t="s">
        <v>228</v>
      </c>
      <c r="D214" s="36" t="n">
        <v>241.7</v>
      </c>
      <c r="E214" s="37" t="n">
        <v>1.7</v>
      </c>
      <c r="F214" s="37" t="n">
        <v>1.5</v>
      </c>
      <c r="G214" s="38" t="n">
        <f aca="false">E214+F214</f>
        <v>3.2</v>
      </c>
      <c r="H214" s="39" t="n">
        <f aca="false">ROUND(D214*G214,2)</f>
        <v>773.44</v>
      </c>
    </row>
    <row r="215" customFormat="false" ht="13.5" hidden="false" customHeight="true" outlineLevel="0" collapsed="false">
      <c r="A215" s="40" t="s">
        <v>555</v>
      </c>
      <c r="B215" s="41" t="s">
        <v>556</v>
      </c>
      <c r="C215" s="42" t="s">
        <v>228</v>
      </c>
      <c r="D215" s="43" t="n">
        <v>4283.26</v>
      </c>
      <c r="E215" s="37" t="n">
        <v>1.1</v>
      </c>
      <c r="F215" s="37" t="n">
        <v>1.3</v>
      </c>
      <c r="G215" s="44" t="n">
        <f aca="false">E215+F215</f>
        <v>2.4</v>
      </c>
      <c r="H215" s="45" t="n">
        <f aca="false">ROUND(D215*G215,2)</f>
        <v>10279.82</v>
      </c>
    </row>
    <row r="216" customFormat="false" ht="13.5" hidden="false" customHeight="true" outlineLevel="0" collapsed="false">
      <c r="A216" s="35" t="s">
        <v>557</v>
      </c>
      <c r="B216" s="16" t="s">
        <v>558</v>
      </c>
      <c r="C216" s="17" t="s">
        <v>228</v>
      </c>
      <c r="D216" s="36" t="n">
        <v>79.75</v>
      </c>
      <c r="E216" s="37" t="n">
        <v>0.85</v>
      </c>
      <c r="F216" s="37" t="n">
        <v>1.2</v>
      </c>
      <c r="G216" s="38" t="n">
        <f aca="false">E216+F216</f>
        <v>2.05</v>
      </c>
      <c r="H216" s="39" t="n">
        <f aca="false">ROUND(D216*G216,2)</f>
        <v>163.49</v>
      </c>
    </row>
    <row r="217" customFormat="false" ht="13.5" hidden="false" customHeight="true" outlineLevel="0" collapsed="false">
      <c r="A217" s="40" t="s">
        <v>559</v>
      </c>
      <c r="B217" s="41" t="s">
        <v>560</v>
      </c>
      <c r="C217" s="42" t="s">
        <v>228</v>
      </c>
      <c r="D217" s="43" t="n">
        <v>275.55</v>
      </c>
      <c r="E217" s="37" t="n">
        <v>2.4</v>
      </c>
      <c r="F217" s="37" t="n">
        <v>1.55</v>
      </c>
      <c r="G217" s="44" t="n">
        <f aca="false">E217+F217</f>
        <v>3.95</v>
      </c>
      <c r="H217" s="45" t="n">
        <f aca="false">ROUND(D217*G217,2)</f>
        <v>1088.42</v>
      </c>
    </row>
    <row r="218" customFormat="false" ht="13.5" hidden="false" customHeight="true" outlineLevel="0" collapsed="false">
      <c r="A218" s="35" t="s">
        <v>561</v>
      </c>
      <c r="B218" s="16" t="s">
        <v>562</v>
      </c>
      <c r="C218" s="17" t="s">
        <v>228</v>
      </c>
      <c r="D218" s="36" t="n">
        <v>220</v>
      </c>
      <c r="E218" s="37" t="n">
        <v>1.9</v>
      </c>
      <c r="F218" s="37" t="n">
        <v>1.45</v>
      </c>
      <c r="G218" s="38" t="n">
        <f aca="false">E218+F218</f>
        <v>3.35</v>
      </c>
      <c r="H218" s="39" t="n">
        <f aca="false">ROUND(D218*G218,2)</f>
        <v>737</v>
      </c>
    </row>
    <row r="219" customFormat="false" ht="21.75" hidden="false" customHeight="true" outlineLevel="0" collapsed="false">
      <c r="A219" s="40" t="s">
        <v>563</v>
      </c>
      <c r="B219" s="41" t="s">
        <v>564</v>
      </c>
      <c r="C219" s="42" t="s">
        <v>218</v>
      </c>
      <c r="D219" s="43" t="n">
        <v>88</v>
      </c>
      <c r="E219" s="37" t="n">
        <v>79</v>
      </c>
      <c r="F219" s="37" t="n">
        <v>33</v>
      </c>
      <c r="G219" s="44" t="n">
        <f aca="false">E219+F219</f>
        <v>112</v>
      </c>
      <c r="H219" s="45" t="n">
        <f aca="false">ROUND(D219*G219,2)</f>
        <v>9856</v>
      </c>
    </row>
    <row r="220" customFormat="false" ht="13.5" hidden="false" customHeight="true" outlineLevel="0" collapsed="false">
      <c r="A220" s="35" t="s">
        <v>565</v>
      </c>
      <c r="B220" s="16" t="s">
        <v>566</v>
      </c>
      <c r="C220" s="17" t="s">
        <v>218</v>
      </c>
      <c r="D220" s="36" t="n">
        <v>13</v>
      </c>
      <c r="E220" s="37" t="n">
        <v>59</v>
      </c>
      <c r="F220" s="37" t="n">
        <v>27</v>
      </c>
      <c r="G220" s="38" t="n">
        <f aca="false">E220+F220</f>
        <v>86</v>
      </c>
      <c r="H220" s="39" t="n">
        <f aca="false">ROUND(D220*G220,2)</f>
        <v>1118</v>
      </c>
    </row>
    <row r="221" customFormat="false" ht="13.5" hidden="false" customHeight="true" outlineLevel="0" collapsed="false">
      <c r="A221" s="40" t="s">
        <v>567</v>
      </c>
      <c r="B221" s="41" t="s">
        <v>568</v>
      </c>
      <c r="C221" s="42" t="s">
        <v>218</v>
      </c>
      <c r="D221" s="43" t="n">
        <v>5</v>
      </c>
      <c r="E221" s="37" t="n">
        <v>43</v>
      </c>
      <c r="F221" s="37" t="n">
        <v>23</v>
      </c>
      <c r="G221" s="44" t="n">
        <f aca="false">E221+F221</f>
        <v>66</v>
      </c>
      <c r="H221" s="45" t="n">
        <f aca="false">ROUND(D221*G221,2)</f>
        <v>330</v>
      </c>
    </row>
    <row r="222" customFormat="false" ht="13.5" hidden="false" customHeight="true" outlineLevel="0" collapsed="false">
      <c r="A222" s="35" t="s">
        <v>569</v>
      </c>
      <c r="B222" s="16" t="s">
        <v>570</v>
      </c>
      <c r="C222" s="17" t="s">
        <v>218</v>
      </c>
      <c r="D222" s="36" t="n">
        <v>20</v>
      </c>
      <c r="E222" s="37" t="n">
        <v>69</v>
      </c>
      <c r="F222" s="37" t="n">
        <v>27</v>
      </c>
      <c r="G222" s="38" t="n">
        <f aca="false">E222+F222</f>
        <v>96</v>
      </c>
      <c r="H222" s="39" t="n">
        <f aca="false">ROUND(D222*G222,2)</f>
        <v>1920</v>
      </c>
    </row>
    <row r="223" customFormat="false" ht="21.75" hidden="false" customHeight="true" outlineLevel="0" collapsed="false">
      <c r="A223" s="40" t="s">
        <v>571</v>
      </c>
      <c r="B223" s="41" t="s">
        <v>572</v>
      </c>
      <c r="C223" s="42" t="s">
        <v>218</v>
      </c>
      <c r="D223" s="43" t="n">
        <v>6</v>
      </c>
      <c r="E223" s="37" t="n">
        <v>53</v>
      </c>
      <c r="F223" s="37" t="n">
        <v>23</v>
      </c>
      <c r="G223" s="44" t="n">
        <f aca="false">E223+F223</f>
        <v>76</v>
      </c>
      <c r="H223" s="45" t="n">
        <f aca="false">ROUND(D223*G223,2)</f>
        <v>456</v>
      </c>
    </row>
    <row r="224" customFormat="false" ht="13.5" hidden="false" customHeight="true" outlineLevel="0" collapsed="false">
      <c r="A224" s="35" t="s">
        <v>573</v>
      </c>
      <c r="B224" s="16" t="s">
        <v>574</v>
      </c>
      <c r="C224" s="17" t="s">
        <v>218</v>
      </c>
      <c r="D224" s="36" t="n">
        <v>3</v>
      </c>
      <c r="E224" s="37" t="n">
        <v>53</v>
      </c>
      <c r="F224" s="37" t="n">
        <v>23</v>
      </c>
      <c r="G224" s="38" t="n">
        <f aca="false">E224+F224</f>
        <v>76</v>
      </c>
      <c r="H224" s="39" t="n">
        <f aca="false">ROUND(D224*G224,2)</f>
        <v>228</v>
      </c>
    </row>
    <row r="225" customFormat="false" ht="13.5" hidden="false" customHeight="true" outlineLevel="0" collapsed="false">
      <c r="A225" s="40" t="s">
        <v>575</v>
      </c>
      <c r="B225" s="41" t="s">
        <v>576</v>
      </c>
      <c r="C225" s="42" t="s">
        <v>218</v>
      </c>
      <c r="D225" s="43" t="n">
        <v>3</v>
      </c>
      <c r="E225" s="37" t="n">
        <v>59</v>
      </c>
      <c r="F225" s="37" t="n">
        <v>25</v>
      </c>
      <c r="G225" s="44" t="n">
        <f aca="false">E225+F225</f>
        <v>84</v>
      </c>
      <c r="H225" s="45" t="n">
        <f aca="false">ROUND(D225*G225,2)</f>
        <v>252</v>
      </c>
    </row>
    <row r="226" customFormat="false" ht="13.5" hidden="false" customHeight="true" outlineLevel="0" collapsed="false">
      <c r="A226" s="35" t="s">
        <v>577</v>
      </c>
      <c r="B226" s="16" t="s">
        <v>578</v>
      </c>
      <c r="C226" s="17" t="s">
        <v>218</v>
      </c>
      <c r="D226" s="36" t="n">
        <v>3</v>
      </c>
      <c r="E226" s="37" t="n">
        <v>59</v>
      </c>
      <c r="F226" s="37" t="n">
        <v>25</v>
      </c>
      <c r="G226" s="38" t="n">
        <f aca="false">E226+F226</f>
        <v>84</v>
      </c>
      <c r="H226" s="39" t="n">
        <f aca="false">ROUND(D226*G226,2)</f>
        <v>252</v>
      </c>
    </row>
    <row r="227" customFormat="false" ht="13.5" hidden="false" customHeight="true" outlineLevel="0" collapsed="false">
      <c r="A227" s="40" t="s">
        <v>579</v>
      </c>
      <c r="B227" s="41" t="s">
        <v>580</v>
      </c>
      <c r="C227" s="42" t="s">
        <v>247</v>
      </c>
      <c r="D227" s="43" t="n">
        <v>13</v>
      </c>
      <c r="E227" s="37" t="n">
        <v>13</v>
      </c>
      <c r="F227" s="37" t="n">
        <v>15</v>
      </c>
      <c r="G227" s="44" t="n">
        <f aca="false">E227+F227</f>
        <v>28</v>
      </c>
      <c r="H227" s="45" t="n">
        <f aca="false">ROUND(D227*G227,2)</f>
        <v>364</v>
      </c>
    </row>
    <row r="228" customFormat="false" ht="13.5" hidden="false" customHeight="true" outlineLevel="0" collapsed="false">
      <c r="A228" s="35" t="s">
        <v>581</v>
      </c>
      <c r="B228" s="16" t="s">
        <v>582</v>
      </c>
      <c r="C228" s="17" t="s">
        <v>247</v>
      </c>
      <c r="D228" s="36" t="n">
        <v>2</v>
      </c>
      <c r="E228" s="37" t="n">
        <v>17</v>
      </c>
      <c r="F228" s="37" t="n">
        <v>16</v>
      </c>
      <c r="G228" s="38" t="n">
        <f aca="false">E228+F228</f>
        <v>33</v>
      </c>
      <c r="H228" s="39" t="n">
        <f aca="false">ROUND(D228*G228,2)</f>
        <v>66</v>
      </c>
    </row>
    <row r="229" customFormat="false" ht="13.5" hidden="false" customHeight="true" outlineLevel="0" collapsed="false">
      <c r="A229" s="40" t="s">
        <v>583</v>
      </c>
      <c r="B229" s="41" t="s">
        <v>584</v>
      </c>
      <c r="C229" s="42" t="s">
        <v>247</v>
      </c>
      <c r="D229" s="43" t="n">
        <v>35</v>
      </c>
      <c r="E229" s="37" t="n">
        <v>15</v>
      </c>
      <c r="F229" s="37" t="n">
        <v>17</v>
      </c>
      <c r="G229" s="44" t="n">
        <f aca="false">E229+F229</f>
        <v>32</v>
      </c>
      <c r="H229" s="45" t="n">
        <f aca="false">ROUND(D229*G229,2)</f>
        <v>1120</v>
      </c>
    </row>
    <row r="230" customFormat="false" ht="21.75" hidden="false" customHeight="true" outlineLevel="0" collapsed="false">
      <c r="A230" s="35" t="s">
        <v>585</v>
      </c>
      <c r="B230" s="16" t="s">
        <v>586</v>
      </c>
      <c r="C230" s="17" t="s">
        <v>247</v>
      </c>
      <c r="D230" s="36" t="n">
        <v>3</v>
      </c>
      <c r="E230" s="37" t="n">
        <v>23</v>
      </c>
      <c r="F230" s="37" t="n">
        <v>19</v>
      </c>
      <c r="G230" s="38" t="n">
        <f aca="false">E230+F230</f>
        <v>42</v>
      </c>
      <c r="H230" s="39" t="n">
        <f aca="false">ROUND(D230*G230,2)</f>
        <v>126</v>
      </c>
    </row>
    <row r="231" customFormat="false" ht="13.5" hidden="false" customHeight="true" outlineLevel="0" collapsed="false">
      <c r="A231" s="40" t="s">
        <v>587</v>
      </c>
      <c r="B231" s="41" t="s">
        <v>588</v>
      </c>
      <c r="C231" s="42" t="s">
        <v>247</v>
      </c>
      <c r="D231" s="43" t="n">
        <v>385</v>
      </c>
      <c r="E231" s="37" t="n">
        <v>4.4</v>
      </c>
      <c r="F231" s="37" t="n">
        <v>5.7</v>
      </c>
      <c r="G231" s="44" t="n">
        <f aca="false">E231+F231</f>
        <v>10.1</v>
      </c>
      <c r="H231" s="45" t="n">
        <f aca="false">ROUND(D231*G231,2)</f>
        <v>3888.5</v>
      </c>
    </row>
    <row r="232" customFormat="false" ht="21.75" hidden="false" customHeight="true" outlineLevel="0" collapsed="false">
      <c r="A232" s="35" t="s">
        <v>589</v>
      </c>
      <c r="B232" s="16" t="s">
        <v>590</v>
      </c>
      <c r="C232" s="17" t="s">
        <v>247</v>
      </c>
      <c r="D232" s="36" t="n">
        <v>4</v>
      </c>
      <c r="E232" s="37" t="n">
        <v>148</v>
      </c>
      <c r="F232" s="37" t="n">
        <v>68</v>
      </c>
      <c r="G232" s="38" t="n">
        <f aca="false">E232+F232</f>
        <v>216</v>
      </c>
      <c r="H232" s="39" t="n">
        <f aca="false">ROUND(D232*G232,2)</f>
        <v>864</v>
      </c>
    </row>
    <row r="233" customFormat="false" ht="13.5" hidden="false" customHeight="true" outlineLevel="0" collapsed="false">
      <c r="A233" s="40" t="s">
        <v>591</v>
      </c>
      <c r="B233" s="41" t="s">
        <v>592</v>
      </c>
      <c r="C233" s="42" t="s">
        <v>228</v>
      </c>
      <c r="D233" s="43" t="n">
        <v>44</v>
      </c>
      <c r="E233" s="37" t="n">
        <v>6.8</v>
      </c>
      <c r="F233" s="37" t="n">
        <v>8.8</v>
      </c>
      <c r="G233" s="44" t="n">
        <f aca="false">E233+F233</f>
        <v>15.6</v>
      </c>
      <c r="H233" s="45" t="n">
        <f aca="false">ROUND(D233*G233,2)</f>
        <v>686.4</v>
      </c>
    </row>
    <row r="234" customFormat="false" ht="13.5" hidden="false" customHeight="true" outlineLevel="0" collapsed="false">
      <c r="A234" s="35" t="s">
        <v>593</v>
      </c>
      <c r="B234" s="16" t="s">
        <v>594</v>
      </c>
      <c r="C234" s="17" t="s">
        <v>228</v>
      </c>
      <c r="D234" s="36" t="n">
        <v>1100</v>
      </c>
      <c r="E234" s="37" t="n">
        <v>1.4</v>
      </c>
      <c r="F234" s="37" t="n">
        <v>1.35</v>
      </c>
      <c r="G234" s="38" t="n">
        <f aca="false">E234+F234</f>
        <v>2.75</v>
      </c>
      <c r="H234" s="39" t="n">
        <f aca="false">ROUND(D234*G234,2)</f>
        <v>3025</v>
      </c>
    </row>
    <row r="235" customFormat="false" ht="13.5" hidden="false" customHeight="true" outlineLevel="0" collapsed="false">
      <c r="A235" s="40" t="s">
        <v>595</v>
      </c>
      <c r="B235" s="41" t="s">
        <v>596</v>
      </c>
      <c r="C235" s="42" t="s">
        <v>228</v>
      </c>
      <c r="D235" s="43" t="n">
        <v>1100</v>
      </c>
      <c r="E235" s="37" t="n">
        <v>1.65</v>
      </c>
      <c r="F235" s="37" t="n">
        <v>2.25</v>
      </c>
      <c r="G235" s="44" t="n">
        <f aca="false">E235+F235</f>
        <v>3.9</v>
      </c>
      <c r="H235" s="45" t="n">
        <f aca="false">ROUND(D235*G235,2)</f>
        <v>4290</v>
      </c>
    </row>
    <row r="236" customFormat="false" ht="21.75" hidden="false" customHeight="true" outlineLevel="0" collapsed="false">
      <c r="A236" s="35" t="s">
        <v>597</v>
      </c>
      <c r="B236" s="16" t="s">
        <v>598</v>
      </c>
      <c r="C236" s="17" t="s">
        <v>161</v>
      </c>
      <c r="D236" s="36" t="n">
        <v>1</v>
      </c>
      <c r="E236" s="37" t="n">
        <v>0</v>
      </c>
      <c r="F236" s="37" t="n">
        <v>8800</v>
      </c>
      <c r="G236" s="38" t="n">
        <f aca="false">E236+F236</f>
        <v>8800</v>
      </c>
      <c r="H236" s="39" t="n">
        <f aca="false">ROUND(D236*G236,2)</f>
        <v>8800</v>
      </c>
    </row>
    <row r="237" customFormat="false" ht="21.75" hidden="false" customHeight="true" outlineLevel="0" collapsed="false">
      <c r="A237" s="40" t="s">
        <v>599</v>
      </c>
      <c r="B237" s="41" t="s">
        <v>600</v>
      </c>
      <c r="C237" s="42" t="s">
        <v>334</v>
      </c>
      <c r="D237" s="43" t="n">
        <v>2433.33</v>
      </c>
      <c r="E237" s="37" t="n">
        <v>2.7</v>
      </c>
      <c r="F237" s="37" t="n">
        <v>2.35</v>
      </c>
      <c r="G237" s="44" t="n">
        <f aca="false">E237+F237</f>
        <v>5.05</v>
      </c>
      <c r="H237" s="45" t="n">
        <f aca="false">ROUND(D237*G237,2)</f>
        <v>12288.32</v>
      </c>
    </row>
    <row r="238" customFormat="false" ht="21.75" hidden="false" customHeight="true" outlineLevel="0" collapsed="false">
      <c r="A238" s="35" t="s">
        <v>601</v>
      </c>
      <c r="B238" s="16" t="s">
        <v>602</v>
      </c>
      <c r="C238" s="17" t="s">
        <v>161</v>
      </c>
      <c r="D238" s="36" t="n">
        <v>1</v>
      </c>
      <c r="E238" s="37" t="n">
        <v>12500</v>
      </c>
      <c r="F238" s="37" t="n">
        <v>0</v>
      </c>
      <c r="G238" s="38" t="n">
        <f aca="false">E238+F238</f>
        <v>12500</v>
      </c>
      <c r="H238" s="39" t="n">
        <f aca="false">ROUND(D238*G238,2)</f>
        <v>12500</v>
      </c>
    </row>
    <row r="239" customFormat="false" ht="21.75" hidden="false" customHeight="true" outlineLevel="0" collapsed="false">
      <c r="A239" s="40" t="s">
        <v>603</v>
      </c>
      <c r="B239" s="41" t="s">
        <v>604</v>
      </c>
      <c r="C239" s="42" t="s">
        <v>334</v>
      </c>
      <c r="D239" s="43" t="n">
        <v>2433.33</v>
      </c>
      <c r="E239" s="37" t="n">
        <v>0.7</v>
      </c>
      <c r="F239" s="37" t="n">
        <v>1.15</v>
      </c>
      <c r="G239" s="44" t="n">
        <f aca="false">E239+F239</f>
        <v>1.85</v>
      </c>
      <c r="H239" s="45" t="n">
        <f aca="false">ROUND(D239*G239,2)</f>
        <v>4501.66</v>
      </c>
    </row>
    <row r="240" customFormat="false" ht="21.75" hidden="false" customHeight="true" outlineLevel="0" collapsed="false">
      <c r="A240" s="35" t="s">
        <v>605</v>
      </c>
      <c r="B240" s="16" t="s">
        <v>606</v>
      </c>
      <c r="C240" s="17" t="s">
        <v>161</v>
      </c>
      <c r="D240" s="36" t="n">
        <v>1</v>
      </c>
      <c r="E240" s="37" t="n">
        <v>0</v>
      </c>
      <c r="F240" s="37" t="n">
        <v>4500</v>
      </c>
      <c r="G240" s="38" t="n">
        <f aca="false">E240+F240</f>
        <v>4500</v>
      </c>
      <c r="H240" s="39" t="n">
        <f aca="false">ROUND(D240*G240,2)</f>
        <v>4500</v>
      </c>
    </row>
    <row r="241" customFormat="false" ht="13.5" hidden="false" customHeight="true" outlineLevel="0" collapsed="false">
      <c r="A241" s="40" t="s">
        <v>607</v>
      </c>
      <c r="B241" s="41" t="s">
        <v>608</v>
      </c>
      <c r="C241" s="42" t="s">
        <v>161</v>
      </c>
      <c r="D241" s="43" t="n">
        <v>1</v>
      </c>
      <c r="E241" s="37" t="n">
        <v>0</v>
      </c>
      <c r="F241" s="37" t="n">
        <v>8800</v>
      </c>
      <c r="G241" s="44" t="n">
        <f aca="false">E241+F241</f>
        <v>8800</v>
      </c>
      <c r="H241" s="45" t="n">
        <f aca="false">ROUND(D241*G241,2)</f>
        <v>8800</v>
      </c>
    </row>
    <row r="242" customFormat="false" ht="13.5" hidden="false" customHeight="true" outlineLevel="0" collapsed="false">
      <c r="A242" s="35" t="s">
        <v>609</v>
      </c>
      <c r="B242" s="16" t="s">
        <v>610</v>
      </c>
      <c r="C242" s="17" t="s">
        <v>161</v>
      </c>
      <c r="D242" s="36" t="n">
        <v>1</v>
      </c>
      <c r="E242" s="37" t="n">
        <v>0</v>
      </c>
      <c r="F242" s="37" t="n">
        <v>11500</v>
      </c>
      <c r="G242" s="38" t="n">
        <f aca="false">E242+F242</f>
        <v>11500</v>
      </c>
      <c r="H242" s="39" t="n">
        <f aca="false">ROUND(D242*G242,2)</f>
        <v>11500</v>
      </c>
    </row>
    <row r="243" customFormat="false" ht="19.5" hidden="false" customHeight="true" outlineLevel="0" collapsed="false">
      <c r="A243" s="21" t="s">
        <v>611</v>
      </c>
      <c r="B243" s="46" t="s">
        <v>612</v>
      </c>
      <c r="C243" s="46"/>
      <c r="D243" s="46"/>
      <c r="E243" s="46"/>
      <c r="F243" s="46"/>
      <c r="G243" s="46"/>
      <c r="H243" s="47" t="n">
        <f aca="false">SUM(H180:H242)</f>
        <v>275378.78</v>
      </c>
    </row>
    <row r="245" customFormat="false" ht="19.5" hidden="false" customHeight="true" outlineLevel="0" collapsed="false">
      <c r="A245" s="34" t="s">
        <v>613</v>
      </c>
      <c r="B245" s="34"/>
      <c r="C245" s="34"/>
      <c r="D245" s="34"/>
      <c r="E245" s="34"/>
      <c r="F245" s="34"/>
      <c r="G245" s="34"/>
      <c r="H245" s="34"/>
    </row>
    <row r="246" customFormat="false" ht="13.5" hidden="false" customHeight="true" outlineLevel="0" collapsed="false">
      <c r="A246" s="35" t="s">
        <v>614</v>
      </c>
      <c r="B246" s="16" t="s">
        <v>615</v>
      </c>
      <c r="C246" s="17" t="s">
        <v>218</v>
      </c>
      <c r="D246" s="36" t="n">
        <v>6</v>
      </c>
      <c r="E246" s="37" t="n">
        <v>330</v>
      </c>
      <c r="F246" s="37" t="n">
        <v>115</v>
      </c>
      <c r="G246" s="38" t="n">
        <f aca="false">E246+F246</f>
        <v>445</v>
      </c>
      <c r="H246" s="39" t="n">
        <f aca="false">ROUND(D246*G246,2)</f>
        <v>2670</v>
      </c>
    </row>
    <row r="247" customFormat="false" ht="13.5" hidden="false" customHeight="true" outlineLevel="0" collapsed="false">
      <c r="A247" s="40" t="s">
        <v>616</v>
      </c>
      <c r="B247" s="41" t="s">
        <v>617</v>
      </c>
      <c r="C247" s="42" t="s">
        <v>218</v>
      </c>
      <c r="D247" s="43" t="n">
        <v>2</v>
      </c>
      <c r="E247" s="37" t="n">
        <v>495</v>
      </c>
      <c r="F247" s="37" t="n">
        <v>135</v>
      </c>
      <c r="G247" s="44" t="n">
        <f aca="false">E247+F247</f>
        <v>630</v>
      </c>
      <c r="H247" s="45" t="n">
        <f aca="false">ROUND(D247*G247,2)</f>
        <v>1260</v>
      </c>
    </row>
    <row r="248" customFormat="false" ht="13.5" hidden="false" customHeight="true" outlineLevel="0" collapsed="false">
      <c r="A248" s="35" t="s">
        <v>618</v>
      </c>
      <c r="B248" s="16" t="s">
        <v>619</v>
      </c>
      <c r="C248" s="17" t="s">
        <v>218</v>
      </c>
      <c r="D248" s="36" t="n">
        <v>3</v>
      </c>
      <c r="E248" s="37" t="n">
        <v>295</v>
      </c>
      <c r="F248" s="37" t="n">
        <v>125</v>
      </c>
      <c r="G248" s="38" t="n">
        <f aca="false">E248+F248</f>
        <v>420</v>
      </c>
      <c r="H248" s="39" t="n">
        <f aca="false">ROUND(D248*G248,2)</f>
        <v>1260</v>
      </c>
    </row>
    <row r="249" customFormat="false" ht="13.5" hidden="false" customHeight="true" outlineLevel="0" collapsed="false">
      <c r="A249" s="40" t="s">
        <v>620</v>
      </c>
      <c r="B249" s="41" t="s">
        <v>621</v>
      </c>
      <c r="C249" s="42" t="s">
        <v>218</v>
      </c>
      <c r="D249" s="43" t="n">
        <v>1</v>
      </c>
      <c r="E249" s="37" t="n">
        <v>270</v>
      </c>
      <c r="F249" s="37" t="n">
        <v>105</v>
      </c>
      <c r="G249" s="44" t="n">
        <f aca="false">E249+F249</f>
        <v>375</v>
      </c>
      <c r="H249" s="45" t="n">
        <f aca="false">ROUND(D249*G249,2)</f>
        <v>375</v>
      </c>
    </row>
    <row r="250" customFormat="false" ht="13.5" hidden="false" customHeight="true" outlineLevel="0" collapsed="false">
      <c r="A250" s="35" t="s">
        <v>622</v>
      </c>
      <c r="B250" s="16" t="s">
        <v>623</v>
      </c>
      <c r="C250" s="17" t="s">
        <v>228</v>
      </c>
      <c r="D250" s="36" t="n">
        <v>11.385</v>
      </c>
      <c r="E250" s="37" t="n">
        <v>9.8</v>
      </c>
      <c r="F250" s="37" t="n">
        <v>8.8</v>
      </c>
      <c r="G250" s="38" t="n">
        <f aca="false">E250+F250</f>
        <v>18.6</v>
      </c>
      <c r="H250" s="39" t="n">
        <f aca="false">ROUND(D250*G250,2)</f>
        <v>211.76</v>
      </c>
    </row>
    <row r="251" customFormat="false" ht="13.5" hidden="false" customHeight="true" outlineLevel="0" collapsed="false">
      <c r="A251" s="40" t="s">
        <v>624</v>
      </c>
      <c r="B251" s="41" t="s">
        <v>625</v>
      </c>
      <c r="C251" s="42" t="s">
        <v>228</v>
      </c>
      <c r="D251" s="43" t="n">
        <v>5.421856</v>
      </c>
      <c r="E251" s="37" t="n">
        <v>7.4</v>
      </c>
      <c r="F251" s="37" t="n">
        <v>7.8</v>
      </c>
      <c r="G251" s="44" t="n">
        <f aca="false">E251+F251</f>
        <v>15.2</v>
      </c>
      <c r="H251" s="45" t="n">
        <f aca="false">ROUND(D251*G251,2)</f>
        <v>82.41</v>
      </c>
    </row>
    <row r="252" customFormat="false" ht="13.5" hidden="false" customHeight="true" outlineLevel="0" collapsed="false">
      <c r="A252" s="35" t="s">
        <v>626</v>
      </c>
      <c r="B252" s="16" t="s">
        <v>627</v>
      </c>
      <c r="C252" s="17" t="s">
        <v>228</v>
      </c>
      <c r="D252" s="36" t="n">
        <v>12.265</v>
      </c>
      <c r="E252" s="37" t="n">
        <v>5.6</v>
      </c>
      <c r="F252" s="37" t="n">
        <v>7</v>
      </c>
      <c r="G252" s="38" t="n">
        <f aca="false">E252+F252</f>
        <v>12.6</v>
      </c>
      <c r="H252" s="39" t="n">
        <f aca="false">ROUND(D252*G252,2)</f>
        <v>154.54</v>
      </c>
    </row>
    <row r="253" customFormat="false" ht="13.5" hidden="false" customHeight="true" outlineLevel="0" collapsed="false">
      <c r="A253" s="40" t="s">
        <v>628</v>
      </c>
      <c r="B253" s="41" t="s">
        <v>629</v>
      </c>
      <c r="C253" s="42" t="s">
        <v>228</v>
      </c>
      <c r="D253" s="43" t="n">
        <v>2.64</v>
      </c>
      <c r="E253" s="37" t="n">
        <v>4.3</v>
      </c>
      <c r="F253" s="37" t="n">
        <v>6.4</v>
      </c>
      <c r="G253" s="44" t="n">
        <f aca="false">E253+F253</f>
        <v>10.7</v>
      </c>
      <c r="H253" s="45" t="n">
        <f aca="false">ROUND(D253*G253,2)</f>
        <v>28.25</v>
      </c>
    </row>
    <row r="254" customFormat="false" ht="13.5" hidden="false" customHeight="true" outlineLevel="0" collapsed="false">
      <c r="A254" s="35" t="s">
        <v>630</v>
      </c>
      <c r="B254" s="16" t="s">
        <v>631</v>
      </c>
      <c r="C254" s="17" t="s">
        <v>228</v>
      </c>
      <c r="D254" s="36" t="n">
        <v>33</v>
      </c>
      <c r="E254" s="37" t="n">
        <v>4.3</v>
      </c>
      <c r="F254" s="37" t="n">
        <v>9.8</v>
      </c>
      <c r="G254" s="38" t="n">
        <f aca="false">E254+F254</f>
        <v>14.1</v>
      </c>
      <c r="H254" s="39" t="n">
        <f aca="false">ROUND(D254*G254,2)</f>
        <v>465.3</v>
      </c>
    </row>
    <row r="255" customFormat="false" ht="13.5" hidden="false" customHeight="true" outlineLevel="0" collapsed="false">
      <c r="A255" s="40" t="s">
        <v>632</v>
      </c>
      <c r="B255" s="41" t="s">
        <v>633</v>
      </c>
      <c r="C255" s="42" t="s">
        <v>228</v>
      </c>
      <c r="D255" s="43" t="n">
        <v>78</v>
      </c>
      <c r="E255" s="37" t="n">
        <v>43</v>
      </c>
      <c r="F255" s="37" t="n">
        <v>23</v>
      </c>
      <c r="G255" s="44" t="n">
        <f aca="false">E255+F255</f>
        <v>66</v>
      </c>
      <c r="H255" s="45" t="n">
        <f aca="false">ROUND(D255*G255,2)</f>
        <v>5148</v>
      </c>
    </row>
    <row r="256" customFormat="false" ht="13.5" hidden="false" customHeight="true" outlineLevel="0" collapsed="false">
      <c r="A256" s="35" t="s">
        <v>634</v>
      </c>
      <c r="B256" s="16" t="s">
        <v>635</v>
      </c>
      <c r="C256" s="17" t="s">
        <v>228</v>
      </c>
      <c r="D256" s="36" t="n">
        <v>12</v>
      </c>
      <c r="E256" s="37" t="n">
        <v>12.8</v>
      </c>
      <c r="F256" s="37" t="n">
        <v>11.5</v>
      </c>
      <c r="G256" s="38" t="n">
        <f aca="false">E256+F256</f>
        <v>24.3</v>
      </c>
      <c r="H256" s="39" t="n">
        <f aca="false">ROUND(D256*G256,2)</f>
        <v>291.6</v>
      </c>
    </row>
    <row r="257" customFormat="false" ht="13.5" hidden="false" customHeight="true" outlineLevel="0" collapsed="false">
      <c r="A257" s="40" t="s">
        <v>636</v>
      </c>
      <c r="B257" s="41" t="s">
        <v>637</v>
      </c>
      <c r="C257" s="42" t="s">
        <v>228</v>
      </c>
      <c r="D257" s="43" t="n">
        <v>22.89375</v>
      </c>
      <c r="E257" s="37" t="n">
        <v>8.8</v>
      </c>
      <c r="F257" s="37" t="n">
        <v>9.8</v>
      </c>
      <c r="G257" s="44" t="n">
        <f aca="false">E257+F257</f>
        <v>18.6</v>
      </c>
      <c r="H257" s="45" t="n">
        <f aca="false">ROUND(D257*G257,2)</f>
        <v>425.82</v>
      </c>
    </row>
    <row r="258" customFormat="false" ht="13.5" hidden="false" customHeight="true" outlineLevel="0" collapsed="false">
      <c r="A258" s="35" t="s">
        <v>638</v>
      </c>
      <c r="B258" s="16" t="s">
        <v>639</v>
      </c>
      <c r="C258" s="17" t="s">
        <v>228</v>
      </c>
      <c r="D258" s="36" t="n">
        <v>5.80635</v>
      </c>
      <c r="E258" s="37" t="n">
        <v>6</v>
      </c>
      <c r="F258" s="37" t="n">
        <v>8.2</v>
      </c>
      <c r="G258" s="38" t="n">
        <f aca="false">E258+F258</f>
        <v>14.2</v>
      </c>
      <c r="H258" s="39" t="n">
        <f aca="false">ROUND(D258*G258,2)</f>
        <v>82.45</v>
      </c>
    </row>
    <row r="259" customFormat="false" ht="21.75" hidden="false" customHeight="true" outlineLevel="0" collapsed="false">
      <c r="A259" s="40" t="s">
        <v>640</v>
      </c>
      <c r="B259" s="41" t="s">
        <v>641</v>
      </c>
      <c r="C259" s="42" t="s">
        <v>161</v>
      </c>
      <c r="D259" s="43" t="n">
        <v>1</v>
      </c>
      <c r="E259" s="37" t="n">
        <v>5800</v>
      </c>
      <c r="F259" s="37" t="n">
        <v>0</v>
      </c>
      <c r="G259" s="44" t="n">
        <f aca="false">E259+F259</f>
        <v>5800</v>
      </c>
      <c r="H259" s="45" t="n">
        <f aca="false">ROUND(D259*G259,2)</f>
        <v>5800</v>
      </c>
    </row>
    <row r="260" customFormat="false" ht="13.5" hidden="false" customHeight="true" outlineLevel="0" collapsed="false">
      <c r="A260" s="35" t="s">
        <v>642</v>
      </c>
      <c r="B260" s="16" t="s">
        <v>643</v>
      </c>
      <c r="C260" s="17" t="s">
        <v>247</v>
      </c>
      <c r="D260" s="36" t="n">
        <v>2</v>
      </c>
      <c r="E260" s="37" t="n">
        <v>60</v>
      </c>
      <c r="F260" s="37" t="n">
        <v>29</v>
      </c>
      <c r="G260" s="38" t="n">
        <f aca="false">E260+F260</f>
        <v>89</v>
      </c>
      <c r="H260" s="39" t="n">
        <f aca="false">ROUND(D260*G260,2)</f>
        <v>178</v>
      </c>
    </row>
    <row r="261" customFormat="false" ht="13.5" hidden="false" customHeight="true" outlineLevel="0" collapsed="false">
      <c r="A261" s="40" t="s">
        <v>644</v>
      </c>
      <c r="B261" s="41" t="s">
        <v>645</v>
      </c>
      <c r="C261" s="42" t="s">
        <v>247</v>
      </c>
      <c r="D261" s="43" t="n">
        <v>1</v>
      </c>
      <c r="E261" s="37" t="n">
        <v>48</v>
      </c>
      <c r="F261" s="37" t="n">
        <v>26</v>
      </c>
      <c r="G261" s="44" t="n">
        <f aca="false">E261+F261</f>
        <v>74</v>
      </c>
      <c r="H261" s="45" t="n">
        <f aca="false">ROUND(D261*G261,2)</f>
        <v>74</v>
      </c>
    </row>
    <row r="262" customFormat="false" ht="13.5" hidden="false" customHeight="true" outlineLevel="0" collapsed="false">
      <c r="A262" s="35" t="s">
        <v>646</v>
      </c>
      <c r="B262" s="16" t="s">
        <v>647</v>
      </c>
      <c r="C262" s="17" t="s">
        <v>247</v>
      </c>
      <c r="D262" s="36" t="n">
        <v>1</v>
      </c>
      <c r="E262" s="37" t="n">
        <v>330</v>
      </c>
      <c r="F262" s="37" t="n">
        <v>98</v>
      </c>
      <c r="G262" s="38" t="n">
        <f aca="false">E262+F262</f>
        <v>428</v>
      </c>
      <c r="H262" s="39" t="n">
        <f aca="false">ROUND(D262*G262,2)</f>
        <v>428</v>
      </c>
    </row>
    <row r="263" customFormat="false" ht="13.5" hidden="false" customHeight="true" outlineLevel="0" collapsed="false">
      <c r="A263" s="40" t="s">
        <v>648</v>
      </c>
      <c r="B263" s="41" t="s">
        <v>649</v>
      </c>
      <c r="C263" s="42" t="s">
        <v>247</v>
      </c>
      <c r="D263" s="43" t="n">
        <v>1</v>
      </c>
      <c r="E263" s="37" t="n">
        <v>148</v>
      </c>
      <c r="F263" s="37" t="n">
        <v>57</v>
      </c>
      <c r="G263" s="44" t="n">
        <f aca="false">E263+F263</f>
        <v>205</v>
      </c>
      <c r="H263" s="45" t="n">
        <f aca="false">ROUND(D263*G263,2)</f>
        <v>205</v>
      </c>
    </row>
    <row r="264" customFormat="false" ht="13.5" hidden="false" customHeight="true" outlineLevel="0" collapsed="false">
      <c r="A264" s="35" t="s">
        <v>650</v>
      </c>
      <c r="B264" s="16" t="s">
        <v>651</v>
      </c>
      <c r="C264" s="17" t="s">
        <v>247</v>
      </c>
      <c r="D264" s="36" t="n">
        <v>1</v>
      </c>
      <c r="E264" s="37" t="n">
        <v>350</v>
      </c>
      <c r="F264" s="37" t="n">
        <v>98</v>
      </c>
      <c r="G264" s="38" t="n">
        <f aca="false">E264+F264</f>
        <v>448</v>
      </c>
      <c r="H264" s="39" t="n">
        <f aca="false">ROUND(D264*G264,2)</f>
        <v>448</v>
      </c>
    </row>
    <row r="265" customFormat="false" ht="13.5" hidden="false" customHeight="true" outlineLevel="0" collapsed="false">
      <c r="A265" s="40" t="s">
        <v>652</v>
      </c>
      <c r="B265" s="41" t="s">
        <v>653</v>
      </c>
      <c r="C265" s="42" t="s">
        <v>247</v>
      </c>
      <c r="D265" s="43" t="n">
        <v>1</v>
      </c>
      <c r="E265" s="37" t="n">
        <v>155</v>
      </c>
      <c r="F265" s="37" t="n">
        <v>57</v>
      </c>
      <c r="G265" s="44" t="n">
        <f aca="false">E265+F265</f>
        <v>212</v>
      </c>
      <c r="H265" s="45" t="n">
        <f aca="false">ROUND(D265*G265,2)</f>
        <v>212</v>
      </c>
    </row>
    <row r="266" customFormat="false" ht="13.5" hidden="false" customHeight="true" outlineLevel="0" collapsed="false">
      <c r="A266" s="35" t="s">
        <v>654</v>
      </c>
      <c r="B266" s="16" t="s">
        <v>655</v>
      </c>
      <c r="C266" s="17" t="s">
        <v>247</v>
      </c>
      <c r="D266" s="36" t="n">
        <v>1</v>
      </c>
      <c r="E266" s="37" t="n">
        <v>185</v>
      </c>
      <c r="F266" s="37" t="n">
        <v>62</v>
      </c>
      <c r="G266" s="38" t="n">
        <f aca="false">E266+F266</f>
        <v>247</v>
      </c>
      <c r="H266" s="39" t="n">
        <f aca="false">ROUND(D266*G266,2)</f>
        <v>247</v>
      </c>
    </row>
    <row r="267" customFormat="false" ht="13.5" hidden="false" customHeight="true" outlineLevel="0" collapsed="false">
      <c r="A267" s="40" t="s">
        <v>656</v>
      </c>
      <c r="B267" s="41" t="s">
        <v>657</v>
      </c>
      <c r="C267" s="42" t="s">
        <v>247</v>
      </c>
      <c r="D267" s="43" t="n">
        <v>1</v>
      </c>
      <c r="E267" s="37" t="n">
        <v>98</v>
      </c>
      <c r="F267" s="37" t="n">
        <v>42</v>
      </c>
      <c r="G267" s="44" t="n">
        <f aca="false">E267+F267</f>
        <v>140</v>
      </c>
      <c r="H267" s="45" t="n">
        <f aca="false">ROUND(D267*G267,2)</f>
        <v>140</v>
      </c>
    </row>
    <row r="268" customFormat="false" ht="13.5" hidden="false" customHeight="true" outlineLevel="0" collapsed="false">
      <c r="A268" s="35" t="s">
        <v>658</v>
      </c>
      <c r="B268" s="16" t="s">
        <v>659</v>
      </c>
      <c r="C268" s="17" t="s">
        <v>247</v>
      </c>
      <c r="D268" s="36" t="n">
        <v>1</v>
      </c>
      <c r="E268" s="37" t="n">
        <v>49</v>
      </c>
      <c r="F268" s="37" t="n">
        <v>23</v>
      </c>
      <c r="G268" s="38" t="n">
        <f aca="false">E268+F268</f>
        <v>72</v>
      </c>
      <c r="H268" s="39" t="n">
        <f aca="false">ROUND(D268*G268,2)</f>
        <v>72</v>
      </c>
    </row>
    <row r="269" customFormat="false" ht="13.5" hidden="false" customHeight="true" outlineLevel="0" collapsed="false">
      <c r="A269" s="40" t="s">
        <v>660</v>
      </c>
      <c r="B269" s="41" t="s">
        <v>661</v>
      </c>
      <c r="C269" s="42" t="s">
        <v>247</v>
      </c>
      <c r="D269" s="43" t="n">
        <v>1</v>
      </c>
      <c r="E269" s="37" t="n">
        <v>88</v>
      </c>
      <c r="F269" s="37" t="n">
        <v>36</v>
      </c>
      <c r="G269" s="44" t="n">
        <f aca="false">E269+F269</f>
        <v>124</v>
      </c>
      <c r="H269" s="45" t="n">
        <f aca="false">ROUND(D269*G269,2)</f>
        <v>124</v>
      </c>
    </row>
    <row r="270" customFormat="false" ht="13.5" hidden="false" customHeight="true" outlineLevel="0" collapsed="false">
      <c r="A270" s="35" t="s">
        <v>662</v>
      </c>
      <c r="B270" s="16" t="s">
        <v>663</v>
      </c>
      <c r="C270" s="17" t="s">
        <v>247</v>
      </c>
      <c r="D270" s="36" t="n">
        <v>4</v>
      </c>
      <c r="E270" s="37" t="n">
        <v>64</v>
      </c>
      <c r="F270" s="37" t="n">
        <v>39</v>
      </c>
      <c r="G270" s="38" t="n">
        <f aca="false">E270+F270</f>
        <v>103</v>
      </c>
      <c r="H270" s="39" t="n">
        <f aca="false">ROUND(D270*G270,2)</f>
        <v>412</v>
      </c>
    </row>
    <row r="271" customFormat="false" ht="13.5" hidden="false" customHeight="true" outlineLevel="0" collapsed="false">
      <c r="A271" s="40" t="s">
        <v>664</v>
      </c>
      <c r="B271" s="41" t="s">
        <v>665</v>
      </c>
      <c r="C271" s="42" t="s">
        <v>247</v>
      </c>
      <c r="D271" s="43" t="n">
        <v>1</v>
      </c>
      <c r="E271" s="37" t="n">
        <v>57</v>
      </c>
      <c r="F271" s="37" t="n">
        <v>36</v>
      </c>
      <c r="G271" s="44" t="n">
        <f aca="false">E271+F271</f>
        <v>93</v>
      </c>
      <c r="H271" s="45" t="n">
        <f aca="false">ROUND(D271*G271,2)</f>
        <v>93</v>
      </c>
    </row>
    <row r="272" customFormat="false" ht="21.75" hidden="false" customHeight="true" outlineLevel="0" collapsed="false">
      <c r="A272" s="35" t="s">
        <v>666</v>
      </c>
      <c r="B272" s="16" t="s">
        <v>336</v>
      </c>
      <c r="C272" s="17" t="s">
        <v>334</v>
      </c>
      <c r="D272" s="36" t="n">
        <v>61.083</v>
      </c>
      <c r="E272" s="37" t="n">
        <v>2.7</v>
      </c>
      <c r="F272" s="37" t="n">
        <v>2.25</v>
      </c>
      <c r="G272" s="38" t="n">
        <f aca="false">E272+F272</f>
        <v>4.95</v>
      </c>
      <c r="H272" s="39" t="n">
        <f aca="false">ROUND(D272*G272,2)</f>
        <v>302.36</v>
      </c>
    </row>
    <row r="273" customFormat="false" ht="13.5" hidden="false" customHeight="true" outlineLevel="0" collapsed="false">
      <c r="A273" s="40" t="s">
        <v>667</v>
      </c>
      <c r="B273" s="41" t="s">
        <v>668</v>
      </c>
      <c r="C273" s="42" t="s">
        <v>228</v>
      </c>
      <c r="D273" s="43" t="n">
        <v>33</v>
      </c>
      <c r="E273" s="37" t="n">
        <v>8.5</v>
      </c>
      <c r="F273" s="37" t="n">
        <v>23</v>
      </c>
      <c r="G273" s="44" t="n">
        <f aca="false">E273+F273</f>
        <v>31.5</v>
      </c>
      <c r="H273" s="45" t="n">
        <f aca="false">ROUND(D273*G273,2)</f>
        <v>1039.5</v>
      </c>
    </row>
    <row r="274" customFormat="false" ht="13.5" hidden="false" customHeight="true" outlineLevel="0" collapsed="false">
      <c r="A274" s="35" t="s">
        <v>669</v>
      </c>
      <c r="B274" s="16" t="s">
        <v>670</v>
      </c>
      <c r="C274" s="17" t="s">
        <v>228</v>
      </c>
      <c r="D274" s="36" t="n">
        <v>88</v>
      </c>
      <c r="E274" s="37" t="n">
        <v>6.5</v>
      </c>
      <c r="F274" s="37" t="n">
        <v>27</v>
      </c>
      <c r="G274" s="38" t="n">
        <f aca="false">E274+F274</f>
        <v>33.5</v>
      </c>
      <c r="H274" s="39" t="n">
        <f aca="false">ROUND(D274*G274,2)</f>
        <v>2948</v>
      </c>
    </row>
    <row r="275" customFormat="false" ht="21.75" hidden="false" customHeight="true" outlineLevel="0" collapsed="false">
      <c r="A275" s="40" t="s">
        <v>671</v>
      </c>
      <c r="B275" s="41" t="s">
        <v>672</v>
      </c>
      <c r="C275" s="42" t="s">
        <v>218</v>
      </c>
      <c r="D275" s="43" t="n">
        <v>1</v>
      </c>
      <c r="E275" s="37" t="n">
        <v>12800</v>
      </c>
      <c r="F275" s="37" t="n">
        <v>2500</v>
      </c>
      <c r="G275" s="44" t="n">
        <f aca="false">E275+F275</f>
        <v>15300</v>
      </c>
      <c r="H275" s="45" t="n">
        <f aca="false">ROUND(D275*G275,2)</f>
        <v>15300</v>
      </c>
    </row>
    <row r="276" customFormat="false" ht="21.75" hidden="false" customHeight="true" outlineLevel="0" collapsed="false">
      <c r="A276" s="35" t="s">
        <v>673</v>
      </c>
      <c r="B276" s="16" t="s">
        <v>674</v>
      </c>
      <c r="C276" s="17" t="s">
        <v>218</v>
      </c>
      <c r="D276" s="36" t="n">
        <v>1</v>
      </c>
      <c r="E276" s="37" t="n">
        <v>1680</v>
      </c>
      <c r="F276" s="37" t="n">
        <v>495</v>
      </c>
      <c r="G276" s="38" t="n">
        <f aca="false">E276+F276</f>
        <v>2175</v>
      </c>
      <c r="H276" s="39" t="n">
        <f aca="false">ROUND(D276*G276,2)</f>
        <v>2175</v>
      </c>
    </row>
    <row r="277" customFormat="false" ht="21.75" hidden="false" customHeight="true" outlineLevel="0" collapsed="false">
      <c r="A277" s="40" t="s">
        <v>675</v>
      </c>
      <c r="B277" s="41" t="s">
        <v>676</v>
      </c>
      <c r="C277" s="42" t="s">
        <v>161</v>
      </c>
      <c r="D277" s="43" t="n">
        <v>1</v>
      </c>
      <c r="E277" s="37" t="n">
        <v>0</v>
      </c>
      <c r="F277" s="37" t="n">
        <v>3800</v>
      </c>
      <c r="G277" s="44" t="n">
        <f aca="false">E277+F277</f>
        <v>3800</v>
      </c>
      <c r="H277" s="45" t="n">
        <f aca="false">ROUND(D277*G277,2)</f>
        <v>3800</v>
      </c>
    </row>
    <row r="278" customFormat="false" ht="21.75" hidden="false" customHeight="true" outlineLevel="0" collapsed="false">
      <c r="A278" s="35" t="s">
        <v>677</v>
      </c>
      <c r="B278" s="16" t="s">
        <v>678</v>
      </c>
      <c r="C278" s="17" t="s">
        <v>161</v>
      </c>
      <c r="D278" s="36" t="n">
        <v>1</v>
      </c>
      <c r="E278" s="37" t="n">
        <v>4200</v>
      </c>
      <c r="F278" s="37" t="n">
        <v>0</v>
      </c>
      <c r="G278" s="38" t="n">
        <f aca="false">E278+F278</f>
        <v>4200</v>
      </c>
      <c r="H278" s="39" t="n">
        <f aca="false">ROUND(D278*G278,2)</f>
        <v>4200</v>
      </c>
    </row>
    <row r="279" customFormat="false" ht="13.5" hidden="false" customHeight="true" outlineLevel="0" collapsed="false">
      <c r="A279" s="40" t="s">
        <v>679</v>
      </c>
      <c r="B279" s="41" t="s">
        <v>680</v>
      </c>
      <c r="C279" s="42" t="s">
        <v>161</v>
      </c>
      <c r="D279" s="43" t="n">
        <v>1</v>
      </c>
      <c r="E279" s="37" t="n">
        <v>0</v>
      </c>
      <c r="F279" s="37" t="n">
        <v>4800</v>
      </c>
      <c r="G279" s="44" t="n">
        <f aca="false">E279+F279</f>
        <v>4800</v>
      </c>
      <c r="H279" s="45" t="n">
        <f aca="false">ROUND(D279*G279,2)</f>
        <v>4800</v>
      </c>
    </row>
    <row r="280" customFormat="false" ht="13.5" hidden="false" customHeight="true" outlineLevel="0" collapsed="false">
      <c r="A280" s="35" t="s">
        <v>681</v>
      </c>
      <c r="B280" s="16" t="s">
        <v>682</v>
      </c>
      <c r="C280" s="17" t="s">
        <v>161</v>
      </c>
      <c r="D280" s="36" t="n">
        <v>1</v>
      </c>
      <c r="E280" s="37" t="n">
        <v>0</v>
      </c>
      <c r="F280" s="37" t="n">
        <v>6800</v>
      </c>
      <c r="G280" s="38" t="n">
        <f aca="false">E280+F280</f>
        <v>6800</v>
      </c>
      <c r="H280" s="39" t="n">
        <f aca="false">ROUND(D280*G280,2)</f>
        <v>6800</v>
      </c>
    </row>
    <row r="281" customFormat="false" ht="19.5" hidden="false" customHeight="true" outlineLevel="0" collapsed="false">
      <c r="A281" s="21" t="s">
        <v>683</v>
      </c>
      <c r="B281" s="46" t="s">
        <v>684</v>
      </c>
      <c r="C281" s="46"/>
      <c r="D281" s="46"/>
      <c r="E281" s="46"/>
      <c r="F281" s="46"/>
      <c r="G281" s="46"/>
      <c r="H281" s="47" t="n">
        <f aca="false">SUM(H246:H280)</f>
        <v>62252.99</v>
      </c>
    </row>
    <row r="283" customFormat="false" ht="19.5" hidden="false" customHeight="true" outlineLevel="0" collapsed="false">
      <c r="A283" s="34" t="s">
        <v>685</v>
      </c>
      <c r="B283" s="34"/>
      <c r="C283" s="34"/>
      <c r="D283" s="34"/>
      <c r="E283" s="34"/>
      <c r="F283" s="34"/>
      <c r="G283" s="34"/>
      <c r="H283" s="34"/>
    </row>
    <row r="284" customFormat="false" ht="13.5" hidden="false" customHeight="true" outlineLevel="0" collapsed="false">
      <c r="A284" s="35" t="s">
        <v>686</v>
      </c>
      <c r="B284" s="16" t="s">
        <v>687</v>
      </c>
      <c r="C284" s="17" t="s">
        <v>228</v>
      </c>
      <c r="D284" s="36" t="n">
        <v>200</v>
      </c>
      <c r="E284" s="37" t="n">
        <v>35</v>
      </c>
      <c r="F284" s="37" t="n">
        <v>27</v>
      </c>
      <c r="G284" s="38" t="n">
        <f aca="false">E284+F284</f>
        <v>62</v>
      </c>
      <c r="H284" s="39" t="n">
        <f aca="false">ROUND(D284*G284,2)</f>
        <v>12400</v>
      </c>
    </row>
    <row r="285" customFormat="false" ht="13.5" hidden="false" customHeight="true" outlineLevel="0" collapsed="false">
      <c r="A285" s="40" t="s">
        <v>688</v>
      </c>
      <c r="B285" s="41" t="s">
        <v>689</v>
      </c>
      <c r="C285" s="42" t="s">
        <v>228</v>
      </c>
      <c r="D285" s="43" t="n">
        <v>41.492</v>
      </c>
      <c r="E285" s="37" t="n">
        <v>23</v>
      </c>
      <c r="F285" s="37" t="n">
        <v>21</v>
      </c>
      <c r="G285" s="44" t="n">
        <f aca="false">E285+F285</f>
        <v>44</v>
      </c>
      <c r="H285" s="45" t="n">
        <f aca="false">ROUND(D285*G285,2)</f>
        <v>1825.65</v>
      </c>
    </row>
    <row r="286" customFormat="false" ht="21.75" hidden="false" customHeight="true" outlineLevel="0" collapsed="false">
      <c r="A286" s="35" t="s">
        <v>690</v>
      </c>
      <c r="B286" s="16" t="s">
        <v>691</v>
      </c>
      <c r="C286" s="17" t="s">
        <v>161</v>
      </c>
      <c r="D286" s="36" t="n">
        <v>1</v>
      </c>
      <c r="E286" s="37" t="n">
        <v>9500</v>
      </c>
      <c r="F286" s="37" t="n">
        <v>0</v>
      </c>
      <c r="G286" s="38" t="n">
        <f aca="false">E286+F286</f>
        <v>9500</v>
      </c>
      <c r="H286" s="39" t="n">
        <f aca="false">ROUND(D286*G286,2)</f>
        <v>9500</v>
      </c>
    </row>
    <row r="287" customFormat="false" ht="21.75" hidden="false" customHeight="true" outlineLevel="0" collapsed="false">
      <c r="A287" s="40" t="s">
        <v>692</v>
      </c>
      <c r="B287" s="41" t="s">
        <v>693</v>
      </c>
      <c r="C287" s="42" t="s">
        <v>218</v>
      </c>
      <c r="D287" s="43" t="n">
        <v>5</v>
      </c>
      <c r="E287" s="37" t="n">
        <v>640</v>
      </c>
      <c r="F287" s="37" t="n">
        <v>230</v>
      </c>
      <c r="G287" s="44" t="n">
        <f aca="false">E287+F287</f>
        <v>870</v>
      </c>
      <c r="H287" s="45" t="n">
        <f aca="false">ROUND(D287*G287,2)</f>
        <v>4350</v>
      </c>
    </row>
    <row r="288" customFormat="false" ht="13.5" hidden="false" customHeight="true" outlineLevel="0" collapsed="false">
      <c r="A288" s="35" t="s">
        <v>694</v>
      </c>
      <c r="B288" s="16" t="s">
        <v>695</v>
      </c>
      <c r="C288" s="17" t="s">
        <v>247</v>
      </c>
      <c r="D288" s="36" t="n">
        <v>8</v>
      </c>
      <c r="E288" s="37" t="n">
        <v>215</v>
      </c>
      <c r="F288" s="37" t="n">
        <v>68</v>
      </c>
      <c r="G288" s="38" t="n">
        <f aca="false">E288+F288</f>
        <v>283</v>
      </c>
      <c r="H288" s="39" t="n">
        <f aca="false">ROUND(D288*G288,2)</f>
        <v>2264</v>
      </c>
    </row>
    <row r="289" customFormat="false" ht="13.5" hidden="false" customHeight="true" outlineLevel="0" collapsed="false">
      <c r="A289" s="40" t="s">
        <v>696</v>
      </c>
      <c r="B289" s="41" t="s">
        <v>697</v>
      </c>
      <c r="C289" s="42" t="s">
        <v>247</v>
      </c>
      <c r="D289" s="43" t="n">
        <v>4</v>
      </c>
      <c r="E289" s="37" t="n">
        <v>295</v>
      </c>
      <c r="F289" s="37" t="n">
        <v>98</v>
      </c>
      <c r="G289" s="44" t="n">
        <f aca="false">E289+F289</f>
        <v>393</v>
      </c>
      <c r="H289" s="45" t="n">
        <f aca="false">ROUND(D289*G289,2)</f>
        <v>1572</v>
      </c>
    </row>
    <row r="290" customFormat="false" ht="13.5" hidden="false" customHeight="true" outlineLevel="0" collapsed="false">
      <c r="A290" s="35" t="s">
        <v>698</v>
      </c>
      <c r="B290" s="16" t="s">
        <v>699</v>
      </c>
      <c r="C290" s="17" t="s">
        <v>247</v>
      </c>
      <c r="D290" s="36" t="n">
        <v>3</v>
      </c>
      <c r="E290" s="37" t="n">
        <v>190</v>
      </c>
      <c r="F290" s="37" t="n">
        <v>73</v>
      </c>
      <c r="G290" s="38" t="n">
        <f aca="false">E290+F290</f>
        <v>263</v>
      </c>
      <c r="H290" s="39" t="n">
        <f aca="false">ROUND(D290*G290,2)</f>
        <v>789</v>
      </c>
    </row>
    <row r="291" customFormat="false" ht="13.5" hidden="false" customHeight="true" outlineLevel="0" collapsed="false">
      <c r="A291" s="40" t="s">
        <v>700</v>
      </c>
      <c r="B291" s="41" t="s">
        <v>701</v>
      </c>
      <c r="C291" s="42" t="s">
        <v>161</v>
      </c>
      <c r="D291" s="43" t="n">
        <v>1</v>
      </c>
      <c r="E291" s="37" t="n">
        <v>0</v>
      </c>
      <c r="F291" s="37" t="n">
        <v>3200</v>
      </c>
      <c r="G291" s="44" t="n">
        <f aca="false">E291+F291</f>
        <v>3200</v>
      </c>
      <c r="H291" s="45" t="n">
        <f aca="false">ROUND(D291*G291,2)</f>
        <v>3200</v>
      </c>
    </row>
    <row r="292" customFormat="false" ht="21.75" hidden="false" customHeight="true" outlineLevel="0" collapsed="false">
      <c r="A292" s="35" t="s">
        <v>702</v>
      </c>
      <c r="B292" s="16" t="s">
        <v>703</v>
      </c>
      <c r="C292" s="17" t="s">
        <v>334</v>
      </c>
      <c r="D292" s="36" t="n">
        <v>156.33525</v>
      </c>
      <c r="E292" s="37" t="n">
        <v>2.7</v>
      </c>
      <c r="F292" s="37" t="n">
        <v>2.35</v>
      </c>
      <c r="G292" s="38" t="n">
        <f aca="false">E292+F292</f>
        <v>5.05</v>
      </c>
      <c r="H292" s="39" t="n">
        <f aca="false">ROUND(D292*G292,2)</f>
        <v>789.49</v>
      </c>
    </row>
    <row r="293" customFormat="false" ht="13.5" hidden="false" customHeight="true" outlineLevel="0" collapsed="false">
      <c r="A293" s="40" t="s">
        <v>704</v>
      </c>
      <c r="B293" s="41" t="s">
        <v>419</v>
      </c>
      <c r="C293" s="42" t="s">
        <v>161</v>
      </c>
      <c r="D293" s="43" t="n">
        <v>1</v>
      </c>
      <c r="E293" s="37" t="n">
        <v>0</v>
      </c>
      <c r="F293" s="37" t="n">
        <v>2800</v>
      </c>
      <c r="G293" s="44" t="n">
        <f aca="false">E293+F293</f>
        <v>2800</v>
      </c>
      <c r="H293" s="45" t="n">
        <f aca="false">ROUND(D293*G293,2)</f>
        <v>2800</v>
      </c>
    </row>
    <row r="294" customFormat="false" ht="21.75" hidden="false" customHeight="true" outlineLevel="0" collapsed="false">
      <c r="A294" s="35" t="s">
        <v>705</v>
      </c>
      <c r="B294" s="16" t="s">
        <v>706</v>
      </c>
      <c r="C294" s="17" t="s">
        <v>161</v>
      </c>
      <c r="D294" s="36" t="n">
        <v>1</v>
      </c>
      <c r="E294" s="37" t="n">
        <v>0</v>
      </c>
      <c r="F294" s="37" t="n">
        <v>4500</v>
      </c>
      <c r="G294" s="38" t="n">
        <f aca="false">E294+F294</f>
        <v>4500</v>
      </c>
      <c r="H294" s="39" t="n">
        <f aca="false">ROUND(D294*G294,2)</f>
        <v>4500</v>
      </c>
    </row>
    <row r="295" customFormat="false" ht="13.5" hidden="false" customHeight="true" outlineLevel="0" collapsed="false">
      <c r="A295" s="40" t="s">
        <v>707</v>
      </c>
      <c r="B295" s="41" t="s">
        <v>708</v>
      </c>
      <c r="C295" s="42" t="s">
        <v>228</v>
      </c>
      <c r="D295" s="43" t="n">
        <v>200</v>
      </c>
      <c r="E295" s="37" t="n">
        <v>54</v>
      </c>
      <c r="F295" s="37" t="n">
        <v>35</v>
      </c>
      <c r="G295" s="44" t="n">
        <f aca="false">E295+F295</f>
        <v>89</v>
      </c>
      <c r="H295" s="45" t="n">
        <f aca="false">ROUND(D295*G295,2)</f>
        <v>17800</v>
      </c>
    </row>
    <row r="296" customFormat="false" ht="13.5" hidden="false" customHeight="true" outlineLevel="0" collapsed="false">
      <c r="A296" s="35" t="s">
        <v>709</v>
      </c>
      <c r="B296" s="16" t="s">
        <v>687</v>
      </c>
      <c r="C296" s="17" t="s">
        <v>228</v>
      </c>
      <c r="D296" s="36" t="n">
        <v>16.5</v>
      </c>
      <c r="E296" s="37" t="n">
        <v>35</v>
      </c>
      <c r="F296" s="37" t="n">
        <v>27</v>
      </c>
      <c r="G296" s="38" t="n">
        <f aca="false">E296+F296</f>
        <v>62</v>
      </c>
      <c r="H296" s="39" t="n">
        <f aca="false">ROUND(D296*G296,2)</f>
        <v>1023</v>
      </c>
    </row>
    <row r="297" customFormat="false" ht="13.5" hidden="false" customHeight="true" outlineLevel="0" collapsed="false">
      <c r="A297" s="40" t="s">
        <v>710</v>
      </c>
      <c r="B297" s="41" t="s">
        <v>711</v>
      </c>
      <c r="C297" s="42" t="s">
        <v>228</v>
      </c>
      <c r="D297" s="43" t="n">
        <v>11</v>
      </c>
      <c r="E297" s="37" t="n">
        <v>29</v>
      </c>
      <c r="F297" s="37" t="n">
        <v>24</v>
      </c>
      <c r="G297" s="44" t="n">
        <f aca="false">E297+F297</f>
        <v>53</v>
      </c>
      <c r="H297" s="45" t="n">
        <f aca="false">ROUND(D297*G297,2)</f>
        <v>583</v>
      </c>
    </row>
    <row r="298" customFormat="false" ht="13.5" hidden="false" customHeight="true" outlineLevel="0" collapsed="false">
      <c r="A298" s="35" t="s">
        <v>712</v>
      </c>
      <c r="B298" s="16" t="s">
        <v>689</v>
      </c>
      <c r="C298" s="17" t="s">
        <v>228</v>
      </c>
      <c r="D298" s="36" t="n">
        <v>2.64</v>
      </c>
      <c r="E298" s="37" t="n">
        <v>23</v>
      </c>
      <c r="F298" s="37" t="n">
        <v>21</v>
      </c>
      <c r="G298" s="38" t="n">
        <f aca="false">E298+F298</f>
        <v>44</v>
      </c>
      <c r="H298" s="39" t="n">
        <f aca="false">ROUND(D298*G298,2)</f>
        <v>116.16</v>
      </c>
    </row>
    <row r="299" customFormat="false" ht="13.5" hidden="false" customHeight="true" outlineLevel="0" collapsed="false">
      <c r="A299" s="40" t="s">
        <v>713</v>
      </c>
      <c r="B299" s="41" t="s">
        <v>714</v>
      </c>
      <c r="C299" s="42" t="s">
        <v>228</v>
      </c>
      <c r="D299" s="43" t="n">
        <v>23.595</v>
      </c>
      <c r="E299" s="37" t="n">
        <v>17.5</v>
      </c>
      <c r="F299" s="37" t="n">
        <v>17.5</v>
      </c>
      <c r="G299" s="44" t="n">
        <f aca="false">E299+F299</f>
        <v>35</v>
      </c>
      <c r="H299" s="45" t="n">
        <f aca="false">ROUND(D299*G299,2)</f>
        <v>825.83</v>
      </c>
    </row>
    <row r="300" customFormat="false" ht="13.5" hidden="false" customHeight="true" outlineLevel="0" collapsed="false">
      <c r="A300" s="35" t="s">
        <v>715</v>
      </c>
      <c r="B300" s="16" t="s">
        <v>716</v>
      </c>
      <c r="C300" s="17" t="s">
        <v>228</v>
      </c>
      <c r="D300" s="36" t="n">
        <v>64.603</v>
      </c>
      <c r="E300" s="37" t="n">
        <v>14</v>
      </c>
      <c r="F300" s="37" t="n">
        <v>15.5</v>
      </c>
      <c r="G300" s="38" t="n">
        <f aca="false">E300+F300</f>
        <v>29.5</v>
      </c>
      <c r="H300" s="39" t="n">
        <f aca="false">ROUND(D300*G300,2)</f>
        <v>1905.79</v>
      </c>
    </row>
    <row r="301" customFormat="false" ht="13.5" hidden="false" customHeight="true" outlineLevel="0" collapsed="false">
      <c r="A301" s="40" t="s">
        <v>717</v>
      </c>
      <c r="B301" s="41" t="s">
        <v>718</v>
      </c>
      <c r="C301" s="42" t="s">
        <v>228</v>
      </c>
      <c r="D301" s="43" t="n">
        <v>172.337</v>
      </c>
      <c r="E301" s="37" t="n">
        <v>11.5</v>
      </c>
      <c r="F301" s="37" t="n">
        <v>14</v>
      </c>
      <c r="G301" s="44" t="n">
        <f aca="false">E301+F301</f>
        <v>25.5</v>
      </c>
      <c r="H301" s="45" t="n">
        <f aca="false">ROUND(D301*G301,2)</f>
        <v>4394.59</v>
      </c>
    </row>
    <row r="302" customFormat="false" ht="13.5" hidden="false" customHeight="true" outlineLevel="0" collapsed="false">
      <c r="A302" s="35" t="s">
        <v>719</v>
      </c>
      <c r="B302" s="16" t="s">
        <v>720</v>
      </c>
      <c r="C302" s="17" t="s">
        <v>228</v>
      </c>
      <c r="D302" s="36" t="n">
        <v>142.626</v>
      </c>
      <c r="E302" s="37" t="n">
        <v>8.8</v>
      </c>
      <c r="F302" s="37" t="n">
        <v>12.5</v>
      </c>
      <c r="G302" s="38" t="n">
        <f aca="false">E302+F302</f>
        <v>21.3</v>
      </c>
      <c r="H302" s="39" t="n">
        <f aca="false">ROUND(D302*G302,2)</f>
        <v>3037.93</v>
      </c>
    </row>
    <row r="303" customFormat="false" ht="21.75" hidden="false" customHeight="true" outlineLevel="0" collapsed="false">
      <c r="A303" s="40" t="s">
        <v>721</v>
      </c>
      <c r="B303" s="41" t="s">
        <v>722</v>
      </c>
      <c r="C303" s="42" t="s">
        <v>161</v>
      </c>
      <c r="D303" s="43" t="n">
        <v>1</v>
      </c>
      <c r="E303" s="37" t="n">
        <v>12500</v>
      </c>
      <c r="F303" s="37" t="n">
        <v>0</v>
      </c>
      <c r="G303" s="44" t="n">
        <f aca="false">E303+F303</f>
        <v>12500</v>
      </c>
      <c r="H303" s="45" t="n">
        <f aca="false">ROUND(D303*G303,2)</f>
        <v>12500</v>
      </c>
    </row>
    <row r="304" customFormat="false" ht="13.5" hidden="false" customHeight="true" outlineLevel="0" collapsed="false">
      <c r="A304" s="35" t="s">
        <v>723</v>
      </c>
      <c r="B304" s="16" t="s">
        <v>724</v>
      </c>
      <c r="C304" s="17" t="s">
        <v>247</v>
      </c>
      <c r="D304" s="36" t="n">
        <v>118</v>
      </c>
      <c r="E304" s="37" t="n">
        <v>23</v>
      </c>
      <c r="F304" s="37" t="n">
        <v>27</v>
      </c>
      <c r="G304" s="38" t="n">
        <f aca="false">E304+F304</f>
        <v>50</v>
      </c>
      <c r="H304" s="39" t="n">
        <f aca="false">ROUND(D304*G304,2)</f>
        <v>5900</v>
      </c>
    </row>
    <row r="305" customFormat="false" ht="13.5" hidden="false" customHeight="true" outlineLevel="0" collapsed="false">
      <c r="A305" s="40" t="s">
        <v>725</v>
      </c>
      <c r="B305" s="41" t="s">
        <v>726</v>
      </c>
      <c r="C305" s="42" t="s">
        <v>247</v>
      </c>
      <c r="D305" s="43" t="n">
        <v>1</v>
      </c>
      <c r="E305" s="37" t="n">
        <v>990</v>
      </c>
      <c r="F305" s="37" t="n">
        <v>230</v>
      </c>
      <c r="G305" s="44" t="n">
        <f aca="false">E305+F305</f>
        <v>1220</v>
      </c>
      <c r="H305" s="45" t="n">
        <f aca="false">ROUND(D305*G305,2)</f>
        <v>1220</v>
      </c>
    </row>
    <row r="306" customFormat="false" ht="13.5" hidden="false" customHeight="true" outlineLevel="0" collapsed="false">
      <c r="A306" s="35" t="s">
        <v>727</v>
      </c>
      <c r="B306" s="16" t="s">
        <v>728</v>
      </c>
      <c r="C306" s="17" t="s">
        <v>247</v>
      </c>
      <c r="D306" s="36" t="n">
        <v>1</v>
      </c>
      <c r="E306" s="37" t="n">
        <v>430</v>
      </c>
      <c r="F306" s="37" t="n">
        <v>125</v>
      </c>
      <c r="G306" s="38" t="n">
        <f aca="false">E306+F306</f>
        <v>555</v>
      </c>
      <c r="H306" s="39" t="n">
        <f aca="false">ROUND(D306*G306,2)</f>
        <v>555</v>
      </c>
    </row>
    <row r="307" customFormat="false" ht="13.5" hidden="false" customHeight="true" outlineLevel="0" collapsed="false">
      <c r="A307" s="40" t="s">
        <v>729</v>
      </c>
      <c r="B307" s="41" t="s">
        <v>730</v>
      </c>
      <c r="C307" s="42" t="s">
        <v>247</v>
      </c>
      <c r="D307" s="43" t="n">
        <v>1</v>
      </c>
      <c r="E307" s="37" t="n">
        <v>98</v>
      </c>
      <c r="F307" s="37" t="n">
        <v>42</v>
      </c>
      <c r="G307" s="44" t="n">
        <f aca="false">E307+F307</f>
        <v>140</v>
      </c>
      <c r="H307" s="45" t="n">
        <f aca="false">ROUND(D307*G307,2)</f>
        <v>140</v>
      </c>
    </row>
    <row r="308" customFormat="false" ht="13.5" hidden="false" customHeight="true" outlineLevel="0" collapsed="false">
      <c r="A308" s="35" t="s">
        <v>731</v>
      </c>
      <c r="B308" s="16" t="s">
        <v>732</v>
      </c>
      <c r="C308" s="17" t="s">
        <v>247</v>
      </c>
      <c r="D308" s="36" t="n">
        <v>1</v>
      </c>
      <c r="E308" s="37" t="n">
        <v>88</v>
      </c>
      <c r="F308" s="37" t="n">
        <v>40</v>
      </c>
      <c r="G308" s="38" t="n">
        <f aca="false">E308+F308</f>
        <v>128</v>
      </c>
      <c r="H308" s="39" t="n">
        <f aca="false">ROUND(D308*G308,2)</f>
        <v>128</v>
      </c>
    </row>
    <row r="309" customFormat="false" ht="13.5" hidden="false" customHeight="true" outlineLevel="0" collapsed="false">
      <c r="A309" s="40" t="s">
        <v>733</v>
      </c>
      <c r="B309" s="41" t="s">
        <v>734</v>
      </c>
      <c r="C309" s="42" t="s">
        <v>161</v>
      </c>
      <c r="D309" s="43" t="n">
        <v>1</v>
      </c>
      <c r="E309" s="37" t="n">
        <v>0</v>
      </c>
      <c r="F309" s="37" t="n">
        <v>3400</v>
      </c>
      <c r="G309" s="44" t="n">
        <f aca="false">E309+F309</f>
        <v>3400</v>
      </c>
      <c r="H309" s="45" t="n">
        <f aca="false">ROUND(D309*G309,2)</f>
        <v>3400</v>
      </c>
    </row>
    <row r="310" customFormat="false" ht="21.75" hidden="false" customHeight="true" outlineLevel="0" collapsed="false">
      <c r="A310" s="35" t="s">
        <v>735</v>
      </c>
      <c r="B310" s="16" t="s">
        <v>736</v>
      </c>
      <c r="C310" s="17" t="s">
        <v>334</v>
      </c>
      <c r="D310" s="36" t="n">
        <v>568.83155</v>
      </c>
      <c r="E310" s="37" t="n">
        <v>2.7</v>
      </c>
      <c r="F310" s="37" t="n">
        <v>2.35</v>
      </c>
      <c r="G310" s="38" t="n">
        <f aca="false">E310+F310</f>
        <v>5.05</v>
      </c>
      <c r="H310" s="39" t="n">
        <f aca="false">ROUND(D310*G310,2)</f>
        <v>2872.6</v>
      </c>
    </row>
    <row r="311" customFormat="false" ht="13.5" hidden="false" customHeight="true" outlineLevel="0" collapsed="false">
      <c r="A311" s="40" t="s">
        <v>737</v>
      </c>
      <c r="B311" s="41" t="s">
        <v>419</v>
      </c>
      <c r="C311" s="42" t="s">
        <v>161</v>
      </c>
      <c r="D311" s="43" t="n">
        <v>1</v>
      </c>
      <c r="E311" s="37" t="n">
        <v>0</v>
      </c>
      <c r="F311" s="37" t="n">
        <v>3600</v>
      </c>
      <c r="G311" s="44" t="n">
        <f aca="false">E311+F311</f>
        <v>3600</v>
      </c>
      <c r="H311" s="45" t="n">
        <f aca="false">ROUND(D311*G311,2)</f>
        <v>3600</v>
      </c>
    </row>
    <row r="312" customFormat="false" ht="21.75" hidden="false" customHeight="true" outlineLevel="0" collapsed="false">
      <c r="A312" s="35" t="s">
        <v>738</v>
      </c>
      <c r="B312" s="16" t="s">
        <v>739</v>
      </c>
      <c r="C312" s="17" t="s">
        <v>161</v>
      </c>
      <c r="D312" s="36" t="n">
        <v>1</v>
      </c>
      <c r="E312" s="37" t="n">
        <v>0</v>
      </c>
      <c r="F312" s="37" t="n">
        <v>6800</v>
      </c>
      <c r="G312" s="38" t="n">
        <f aca="false">E312+F312</f>
        <v>6800</v>
      </c>
      <c r="H312" s="39" t="n">
        <f aca="false">ROUND(D312*G312,2)</f>
        <v>6800</v>
      </c>
    </row>
    <row r="313" customFormat="false" ht="13.5" hidden="false" customHeight="true" outlineLevel="0" collapsed="false">
      <c r="A313" s="40" t="s">
        <v>740</v>
      </c>
      <c r="B313" s="41" t="s">
        <v>741</v>
      </c>
      <c r="C313" s="42" t="s">
        <v>218</v>
      </c>
      <c r="D313" s="43" t="n">
        <v>1</v>
      </c>
      <c r="E313" s="37" t="n">
        <v>4900</v>
      </c>
      <c r="F313" s="37" t="n">
        <v>980</v>
      </c>
      <c r="G313" s="44" t="n">
        <f aca="false">E313+F313</f>
        <v>5880</v>
      </c>
      <c r="H313" s="45" t="n">
        <f aca="false">ROUND(D313*G313,2)</f>
        <v>5880</v>
      </c>
    </row>
    <row r="314" customFormat="false" ht="13.5" hidden="false" customHeight="true" outlineLevel="0" collapsed="false">
      <c r="A314" s="35" t="s">
        <v>742</v>
      </c>
      <c r="B314" s="16" t="s">
        <v>743</v>
      </c>
      <c r="C314" s="17" t="s">
        <v>247</v>
      </c>
      <c r="D314" s="36" t="n">
        <v>3</v>
      </c>
      <c r="E314" s="37" t="n">
        <v>98</v>
      </c>
      <c r="F314" s="37" t="n">
        <v>47</v>
      </c>
      <c r="G314" s="38" t="n">
        <f aca="false">E314+F314</f>
        <v>145</v>
      </c>
      <c r="H314" s="39" t="n">
        <f aca="false">ROUND(D314*G314,2)</f>
        <v>435</v>
      </c>
    </row>
    <row r="315" customFormat="false" ht="13.5" hidden="false" customHeight="true" outlineLevel="0" collapsed="false">
      <c r="A315" s="40" t="s">
        <v>744</v>
      </c>
      <c r="B315" s="41" t="s">
        <v>745</v>
      </c>
      <c r="C315" s="42" t="s">
        <v>247</v>
      </c>
      <c r="D315" s="43" t="n">
        <v>21</v>
      </c>
      <c r="E315" s="37" t="n">
        <v>70</v>
      </c>
      <c r="F315" s="37" t="n">
        <v>44</v>
      </c>
      <c r="G315" s="44" t="n">
        <f aca="false">E315+F315</f>
        <v>114</v>
      </c>
      <c r="H315" s="45" t="n">
        <f aca="false">ROUND(D315*G315,2)</f>
        <v>2394</v>
      </c>
    </row>
    <row r="316" customFormat="false" ht="13.5" hidden="false" customHeight="true" outlineLevel="0" collapsed="false">
      <c r="A316" s="35" t="s">
        <v>746</v>
      </c>
      <c r="B316" s="16" t="s">
        <v>747</v>
      </c>
      <c r="C316" s="17" t="s">
        <v>247</v>
      </c>
      <c r="D316" s="36" t="n">
        <v>6</v>
      </c>
      <c r="E316" s="37" t="n">
        <v>80</v>
      </c>
      <c r="F316" s="37" t="n">
        <v>44</v>
      </c>
      <c r="G316" s="38" t="n">
        <f aca="false">E316+F316</f>
        <v>124</v>
      </c>
      <c r="H316" s="39" t="n">
        <f aca="false">ROUND(D316*G316,2)</f>
        <v>744</v>
      </c>
    </row>
    <row r="317" customFormat="false" ht="13.5" hidden="false" customHeight="true" outlineLevel="0" collapsed="false">
      <c r="A317" s="40" t="s">
        <v>748</v>
      </c>
      <c r="B317" s="41" t="s">
        <v>749</v>
      </c>
      <c r="C317" s="42" t="s">
        <v>247</v>
      </c>
      <c r="D317" s="43" t="n">
        <v>3</v>
      </c>
      <c r="E317" s="37" t="n">
        <v>88</v>
      </c>
      <c r="F317" s="37" t="n">
        <v>42</v>
      </c>
      <c r="G317" s="44" t="n">
        <f aca="false">E317+F317</f>
        <v>130</v>
      </c>
      <c r="H317" s="45" t="n">
        <f aca="false">ROUND(D317*G317,2)</f>
        <v>390</v>
      </c>
    </row>
    <row r="318" customFormat="false" ht="13.5" hidden="false" customHeight="true" outlineLevel="0" collapsed="false">
      <c r="A318" s="35" t="s">
        <v>750</v>
      </c>
      <c r="B318" s="16" t="s">
        <v>751</v>
      </c>
      <c r="C318" s="17" t="s">
        <v>247</v>
      </c>
      <c r="D318" s="36" t="n">
        <v>3</v>
      </c>
      <c r="E318" s="37" t="n">
        <v>123</v>
      </c>
      <c r="F318" s="37" t="n">
        <v>50</v>
      </c>
      <c r="G318" s="38" t="n">
        <f aca="false">E318+F318</f>
        <v>173</v>
      </c>
      <c r="H318" s="39" t="n">
        <f aca="false">ROUND(D318*G318,2)</f>
        <v>519</v>
      </c>
    </row>
    <row r="319" customFormat="false" ht="13.5" hidden="false" customHeight="true" outlineLevel="0" collapsed="false">
      <c r="A319" s="40" t="s">
        <v>752</v>
      </c>
      <c r="B319" s="41" t="s">
        <v>753</v>
      </c>
      <c r="C319" s="42" t="s">
        <v>247</v>
      </c>
      <c r="D319" s="43" t="n">
        <v>3</v>
      </c>
      <c r="E319" s="37" t="n">
        <v>80</v>
      </c>
      <c r="F319" s="37" t="n">
        <v>42</v>
      </c>
      <c r="G319" s="44" t="n">
        <f aca="false">E319+F319</f>
        <v>122</v>
      </c>
      <c r="H319" s="45" t="n">
        <f aca="false">ROUND(D319*G319,2)</f>
        <v>366</v>
      </c>
    </row>
    <row r="320" customFormat="false" ht="13.5" hidden="false" customHeight="true" outlineLevel="0" collapsed="false">
      <c r="A320" s="35" t="s">
        <v>754</v>
      </c>
      <c r="B320" s="16" t="s">
        <v>755</v>
      </c>
      <c r="C320" s="17" t="s">
        <v>247</v>
      </c>
      <c r="D320" s="36" t="n">
        <v>5</v>
      </c>
      <c r="E320" s="37" t="n">
        <v>67</v>
      </c>
      <c r="F320" s="37" t="n">
        <v>36</v>
      </c>
      <c r="G320" s="38" t="n">
        <f aca="false">E320+F320</f>
        <v>103</v>
      </c>
      <c r="H320" s="39" t="n">
        <f aca="false">ROUND(D320*G320,2)</f>
        <v>515</v>
      </c>
    </row>
    <row r="321" customFormat="false" ht="13.5" hidden="false" customHeight="true" outlineLevel="0" collapsed="false">
      <c r="A321" s="40" t="s">
        <v>756</v>
      </c>
      <c r="B321" s="41" t="s">
        <v>757</v>
      </c>
      <c r="C321" s="42" t="s">
        <v>247</v>
      </c>
      <c r="D321" s="43" t="n">
        <v>1</v>
      </c>
      <c r="E321" s="37" t="n">
        <v>148</v>
      </c>
      <c r="F321" s="37" t="n">
        <v>57</v>
      </c>
      <c r="G321" s="44" t="n">
        <f aca="false">E321+F321</f>
        <v>205</v>
      </c>
      <c r="H321" s="45" t="n">
        <f aca="false">ROUND(D321*G321,2)</f>
        <v>205</v>
      </c>
    </row>
    <row r="322" customFormat="false" ht="13.5" hidden="false" customHeight="true" outlineLevel="0" collapsed="false">
      <c r="A322" s="35" t="s">
        <v>758</v>
      </c>
      <c r="B322" s="16" t="s">
        <v>759</v>
      </c>
      <c r="C322" s="17" t="s">
        <v>247</v>
      </c>
      <c r="D322" s="36" t="n">
        <v>3</v>
      </c>
      <c r="E322" s="37" t="n">
        <v>123</v>
      </c>
      <c r="F322" s="37" t="n">
        <v>52</v>
      </c>
      <c r="G322" s="38" t="n">
        <f aca="false">E322+F322</f>
        <v>175</v>
      </c>
      <c r="H322" s="39" t="n">
        <f aca="false">ROUND(D322*G322,2)</f>
        <v>525</v>
      </c>
    </row>
    <row r="323" customFormat="false" ht="13.5" hidden="false" customHeight="true" outlineLevel="0" collapsed="false">
      <c r="A323" s="40" t="s">
        <v>760</v>
      </c>
      <c r="B323" s="41" t="s">
        <v>761</v>
      </c>
      <c r="C323" s="42" t="s">
        <v>247</v>
      </c>
      <c r="D323" s="43" t="n">
        <v>5</v>
      </c>
      <c r="E323" s="37" t="n">
        <v>118</v>
      </c>
      <c r="F323" s="37" t="n">
        <v>50</v>
      </c>
      <c r="G323" s="44" t="n">
        <f aca="false">E323+F323</f>
        <v>168</v>
      </c>
      <c r="H323" s="45" t="n">
        <f aca="false">ROUND(D323*G323,2)</f>
        <v>840</v>
      </c>
    </row>
    <row r="324" customFormat="false" ht="13.5" hidden="false" customHeight="true" outlineLevel="0" collapsed="false">
      <c r="A324" s="35" t="s">
        <v>762</v>
      </c>
      <c r="B324" s="16" t="s">
        <v>763</v>
      </c>
      <c r="C324" s="17" t="s">
        <v>228</v>
      </c>
      <c r="D324" s="36" t="n">
        <v>425.271</v>
      </c>
      <c r="E324" s="37" t="n">
        <v>1.6</v>
      </c>
      <c r="F324" s="37" t="n">
        <v>1.4</v>
      </c>
      <c r="G324" s="38" t="n">
        <f aca="false">E324+F324</f>
        <v>3</v>
      </c>
      <c r="H324" s="39" t="n">
        <f aca="false">ROUND(D324*G324,2)</f>
        <v>1275.81</v>
      </c>
    </row>
    <row r="325" customFormat="false" ht="13.5" hidden="false" customHeight="true" outlineLevel="0" collapsed="false">
      <c r="A325" s="40" t="s">
        <v>764</v>
      </c>
      <c r="B325" s="41" t="s">
        <v>765</v>
      </c>
      <c r="C325" s="42" t="s">
        <v>228</v>
      </c>
      <c r="D325" s="43" t="n">
        <v>324.5</v>
      </c>
      <c r="E325" s="37" t="n">
        <v>1.1</v>
      </c>
      <c r="F325" s="37" t="n">
        <v>1.3</v>
      </c>
      <c r="G325" s="44" t="n">
        <f aca="false">E325+F325</f>
        <v>2.4</v>
      </c>
      <c r="H325" s="45" t="n">
        <f aca="false">ROUND(D325*G325,2)</f>
        <v>778.8</v>
      </c>
    </row>
    <row r="326" customFormat="false" ht="13.5" hidden="false" customHeight="true" outlineLevel="0" collapsed="false">
      <c r="A326" s="35" t="s">
        <v>766</v>
      </c>
      <c r="B326" s="16" t="s">
        <v>767</v>
      </c>
      <c r="C326" s="17" t="s">
        <v>228</v>
      </c>
      <c r="D326" s="36" t="n">
        <v>263.087</v>
      </c>
      <c r="E326" s="37" t="n">
        <v>4.5</v>
      </c>
      <c r="F326" s="37" t="n">
        <v>5.7</v>
      </c>
      <c r="G326" s="38" t="n">
        <f aca="false">E326+F326</f>
        <v>10.2</v>
      </c>
      <c r="H326" s="39" t="n">
        <f aca="false">ROUND(D326*G326,2)</f>
        <v>2683.49</v>
      </c>
    </row>
    <row r="327" customFormat="false" ht="13.5" hidden="false" customHeight="true" outlineLevel="0" collapsed="false">
      <c r="A327" s="40" t="s">
        <v>768</v>
      </c>
      <c r="B327" s="41" t="s">
        <v>769</v>
      </c>
      <c r="C327" s="42" t="s">
        <v>228</v>
      </c>
      <c r="D327" s="43" t="n">
        <v>163.581</v>
      </c>
      <c r="E327" s="37" t="n">
        <v>5.7</v>
      </c>
      <c r="F327" s="37" t="n">
        <v>6.3</v>
      </c>
      <c r="G327" s="44" t="n">
        <f aca="false">E327+F327</f>
        <v>12</v>
      </c>
      <c r="H327" s="45" t="n">
        <f aca="false">ROUND(D327*G327,2)</f>
        <v>1962.97</v>
      </c>
    </row>
    <row r="328" customFormat="false" ht="13.5" hidden="false" customHeight="true" outlineLevel="0" collapsed="false">
      <c r="A328" s="35" t="s">
        <v>770</v>
      </c>
      <c r="B328" s="16" t="s">
        <v>588</v>
      </c>
      <c r="C328" s="17" t="s">
        <v>247</v>
      </c>
      <c r="D328" s="36" t="n">
        <v>50</v>
      </c>
      <c r="E328" s="37" t="n">
        <v>4.4</v>
      </c>
      <c r="F328" s="37" t="n">
        <v>5.7</v>
      </c>
      <c r="G328" s="38" t="n">
        <f aca="false">E328+F328</f>
        <v>10.1</v>
      </c>
      <c r="H328" s="39" t="n">
        <f aca="false">ROUND(D328*G328,2)</f>
        <v>505</v>
      </c>
    </row>
    <row r="329" customFormat="false" ht="21.75" hidden="false" customHeight="true" outlineLevel="0" collapsed="false">
      <c r="A329" s="40" t="s">
        <v>771</v>
      </c>
      <c r="B329" s="41" t="s">
        <v>772</v>
      </c>
      <c r="C329" s="42" t="s">
        <v>161</v>
      </c>
      <c r="D329" s="43" t="n">
        <v>1</v>
      </c>
      <c r="E329" s="37" t="n">
        <v>0</v>
      </c>
      <c r="F329" s="37" t="n">
        <v>2600</v>
      </c>
      <c r="G329" s="44" t="n">
        <f aca="false">E329+F329</f>
        <v>2600</v>
      </c>
      <c r="H329" s="45" t="n">
        <f aca="false">ROUND(D329*G329,2)</f>
        <v>2600</v>
      </c>
    </row>
    <row r="330" customFormat="false" ht="13.5" hidden="false" customHeight="true" outlineLevel="0" collapsed="false">
      <c r="A330" s="35" t="s">
        <v>773</v>
      </c>
      <c r="B330" s="16" t="s">
        <v>774</v>
      </c>
      <c r="C330" s="17" t="s">
        <v>334</v>
      </c>
      <c r="D330" s="36" t="n">
        <v>176.396</v>
      </c>
      <c r="E330" s="37" t="n">
        <v>2.7</v>
      </c>
      <c r="F330" s="37" t="n">
        <v>2.35</v>
      </c>
      <c r="G330" s="38" t="n">
        <f aca="false">E330+F330</f>
        <v>5.05</v>
      </c>
      <c r="H330" s="39" t="n">
        <f aca="false">ROUND(D330*G330,2)</f>
        <v>890.8</v>
      </c>
    </row>
    <row r="331" customFormat="false" ht="21.75" hidden="false" customHeight="true" outlineLevel="0" collapsed="false">
      <c r="A331" s="40" t="s">
        <v>775</v>
      </c>
      <c r="B331" s="41" t="s">
        <v>776</v>
      </c>
      <c r="C331" s="42" t="s">
        <v>334</v>
      </c>
      <c r="D331" s="43" t="n">
        <v>176.396</v>
      </c>
      <c r="E331" s="37" t="n">
        <v>0.7</v>
      </c>
      <c r="F331" s="37" t="n">
        <v>1.15</v>
      </c>
      <c r="G331" s="44" t="n">
        <f aca="false">E331+F331</f>
        <v>1.85</v>
      </c>
      <c r="H331" s="45" t="n">
        <f aca="false">ROUND(D331*G331,2)</f>
        <v>326.33</v>
      </c>
    </row>
    <row r="332" customFormat="false" ht="21.75" hidden="false" customHeight="true" outlineLevel="0" collapsed="false">
      <c r="A332" s="35" t="s">
        <v>777</v>
      </c>
      <c r="B332" s="16" t="s">
        <v>778</v>
      </c>
      <c r="C332" s="17" t="s">
        <v>161</v>
      </c>
      <c r="D332" s="36" t="n">
        <v>1</v>
      </c>
      <c r="E332" s="37" t="n">
        <v>0</v>
      </c>
      <c r="F332" s="37" t="n">
        <v>7800</v>
      </c>
      <c r="G332" s="38" t="n">
        <f aca="false">E332+F332</f>
        <v>7800</v>
      </c>
      <c r="H332" s="39" t="n">
        <f aca="false">ROUND(D332*G332,2)</f>
        <v>7800</v>
      </c>
    </row>
    <row r="333" customFormat="false" ht="21.75" hidden="false" customHeight="true" outlineLevel="0" collapsed="false">
      <c r="A333" s="40" t="s">
        <v>779</v>
      </c>
      <c r="B333" s="41" t="s">
        <v>780</v>
      </c>
      <c r="C333" s="42" t="s">
        <v>161</v>
      </c>
      <c r="D333" s="43" t="n">
        <v>1</v>
      </c>
      <c r="E333" s="37" t="n">
        <v>3500</v>
      </c>
      <c r="F333" s="37" t="n">
        <v>0</v>
      </c>
      <c r="G333" s="44" t="n">
        <f aca="false">E333+F333</f>
        <v>3500</v>
      </c>
      <c r="H333" s="45" t="n">
        <f aca="false">ROUND(D333*G333,2)</f>
        <v>3500</v>
      </c>
    </row>
    <row r="334" customFormat="false" ht="13.5" hidden="false" customHeight="true" outlineLevel="0" collapsed="false">
      <c r="A334" s="35" t="s">
        <v>781</v>
      </c>
      <c r="B334" s="16" t="s">
        <v>782</v>
      </c>
      <c r="C334" s="17" t="s">
        <v>161</v>
      </c>
      <c r="D334" s="36" t="n">
        <v>1</v>
      </c>
      <c r="E334" s="37" t="n">
        <v>0</v>
      </c>
      <c r="F334" s="37" t="n">
        <v>4800</v>
      </c>
      <c r="G334" s="38" t="n">
        <f aca="false">E334+F334</f>
        <v>4800</v>
      </c>
      <c r="H334" s="39" t="n">
        <f aca="false">ROUND(D334*G334,2)</f>
        <v>4800</v>
      </c>
    </row>
    <row r="335" customFormat="false" ht="19.5" hidden="false" customHeight="true" outlineLevel="0" collapsed="false">
      <c r="A335" s="21" t="s">
        <v>783</v>
      </c>
      <c r="B335" s="46" t="s">
        <v>784</v>
      </c>
      <c r="C335" s="46"/>
      <c r="D335" s="46"/>
      <c r="E335" s="46"/>
      <c r="F335" s="46"/>
      <c r="G335" s="46"/>
      <c r="H335" s="47" t="n">
        <f aca="false">SUM(H284:H334)</f>
        <v>150728.24</v>
      </c>
    </row>
    <row r="337" customFormat="false" ht="19.5" hidden="false" customHeight="true" outlineLevel="0" collapsed="false">
      <c r="A337" s="34" t="s">
        <v>785</v>
      </c>
      <c r="B337" s="34"/>
      <c r="C337" s="34"/>
      <c r="D337" s="34"/>
      <c r="E337" s="34"/>
      <c r="F337" s="34"/>
      <c r="G337" s="34"/>
      <c r="H337" s="34"/>
    </row>
    <row r="338" customFormat="false" ht="21.75" hidden="false" customHeight="true" outlineLevel="0" collapsed="false">
      <c r="A338" s="35" t="s">
        <v>786</v>
      </c>
      <c r="B338" s="16" t="s">
        <v>787</v>
      </c>
      <c r="C338" s="17" t="s">
        <v>247</v>
      </c>
      <c r="D338" s="36" t="n">
        <v>8</v>
      </c>
      <c r="E338" s="37" t="n">
        <v>265</v>
      </c>
      <c r="F338" s="37" t="n">
        <v>98</v>
      </c>
      <c r="G338" s="38" t="n">
        <f aca="false">E338+F338</f>
        <v>363</v>
      </c>
      <c r="H338" s="39" t="n">
        <f aca="false">ROUND(D338*G338,2)</f>
        <v>2904</v>
      </c>
    </row>
    <row r="339" customFormat="false" ht="13.5" hidden="false" customHeight="true" outlineLevel="0" collapsed="false">
      <c r="A339" s="40" t="s">
        <v>788</v>
      </c>
      <c r="B339" s="41" t="s">
        <v>789</v>
      </c>
      <c r="C339" s="42" t="s">
        <v>228</v>
      </c>
      <c r="D339" s="43" t="n">
        <v>60</v>
      </c>
      <c r="E339" s="37" t="n">
        <v>33</v>
      </c>
      <c r="F339" s="37" t="n">
        <v>19</v>
      </c>
      <c r="G339" s="44" t="n">
        <f aca="false">E339+F339</f>
        <v>52</v>
      </c>
      <c r="H339" s="45" t="n">
        <f aca="false">ROUND(D339*G339,2)</f>
        <v>3120</v>
      </c>
    </row>
    <row r="340" customFormat="false" ht="13.5" hidden="false" customHeight="true" outlineLevel="0" collapsed="false">
      <c r="A340" s="35" t="s">
        <v>790</v>
      </c>
      <c r="B340" s="16" t="s">
        <v>791</v>
      </c>
      <c r="C340" s="17" t="s">
        <v>228</v>
      </c>
      <c r="D340" s="36" t="n">
        <v>600</v>
      </c>
      <c r="E340" s="37" t="n">
        <v>1.5</v>
      </c>
      <c r="F340" s="37" t="n">
        <v>1.15</v>
      </c>
      <c r="G340" s="38" t="n">
        <f aca="false">E340+F340</f>
        <v>2.65</v>
      </c>
      <c r="H340" s="39" t="n">
        <f aca="false">ROUND(D340*G340,2)</f>
        <v>1590</v>
      </c>
    </row>
    <row r="341" customFormat="false" ht="13.5" hidden="false" customHeight="true" outlineLevel="0" collapsed="false">
      <c r="A341" s="40" t="s">
        <v>792</v>
      </c>
      <c r="B341" s="41" t="s">
        <v>793</v>
      </c>
      <c r="C341" s="42" t="s">
        <v>228</v>
      </c>
      <c r="D341" s="43" t="n">
        <v>80</v>
      </c>
      <c r="E341" s="37" t="n">
        <v>4.3</v>
      </c>
      <c r="F341" s="37" t="n">
        <v>5.3</v>
      </c>
      <c r="G341" s="44" t="n">
        <f aca="false">E341+F341</f>
        <v>9.6</v>
      </c>
      <c r="H341" s="45" t="n">
        <f aca="false">ROUND(D341*G341,2)</f>
        <v>768</v>
      </c>
    </row>
    <row r="342" customFormat="false" ht="13.5" hidden="false" customHeight="true" outlineLevel="0" collapsed="false">
      <c r="A342" s="35" t="s">
        <v>794</v>
      </c>
      <c r="B342" s="16" t="s">
        <v>795</v>
      </c>
      <c r="C342" s="17" t="s">
        <v>247</v>
      </c>
      <c r="D342" s="36" t="n">
        <v>8</v>
      </c>
      <c r="E342" s="37" t="n">
        <v>4.4</v>
      </c>
      <c r="F342" s="37" t="n">
        <v>5.7</v>
      </c>
      <c r="G342" s="38" t="n">
        <f aca="false">E342+F342</f>
        <v>10.1</v>
      </c>
      <c r="H342" s="39" t="n">
        <f aca="false">ROUND(D342*G342,2)</f>
        <v>80.8</v>
      </c>
    </row>
    <row r="343" customFormat="false" ht="13.5" hidden="false" customHeight="true" outlineLevel="0" collapsed="false">
      <c r="A343" s="40" t="s">
        <v>796</v>
      </c>
      <c r="B343" s="41" t="s">
        <v>797</v>
      </c>
      <c r="C343" s="42" t="s">
        <v>161</v>
      </c>
      <c r="D343" s="43" t="n">
        <v>1</v>
      </c>
      <c r="E343" s="37" t="n">
        <v>0</v>
      </c>
      <c r="F343" s="37" t="n">
        <v>1800</v>
      </c>
      <c r="G343" s="44" t="n">
        <f aca="false">E343+F343</f>
        <v>1800</v>
      </c>
      <c r="H343" s="45" t="n">
        <f aca="false">ROUND(D343*G343,2)</f>
        <v>1800</v>
      </c>
    </row>
    <row r="344" customFormat="false" ht="21.75" hidden="false" customHeight="true" outlineLevel="0" collapsed="false">
      <c r="A344" s="35" t="s">
        <v>798</v>
      </c>
      <c r="B344" s="16" t="s">
        <v>703</v>
      </c>
      <c r="C344" s="17" t="s">
        <v>334</v>
      </c>
      <c r="D344" s="36" t="n">
        <v>186.77</v>
      </c>
      <c r="E344" s="37" t="n">
        <v>2.7</v>
      </c>
      <c r="F344" s="37" t="n">
        <v>2.35</v>
      </c>
      <c r="G344" s="38" t="n">
        <f aca="false">E344+F344</f>
        <v>5.05</v>
      </c>
      <c r="H344" s="39" t="n">
        <f aca="false">ROUND(D344*G344,2)</f>
        <v>943.19</v>
      </c>
    </row>
    <row r="345" customFormat="false" ht="21.75" hidden="false" customHeight="true" outlineLevel="0" collapsed="false">
      <c r="A345" s="40" t="s">
        <v>799</v>
      </c>
      <c r="B345" s="41" t="s">
        <v>800</v>
      </c>
      <c r="C345" s="42" t="s">
        <v>161</v>
      </c>
      <c r="D345" s="43" t="n">
        <v>1</v>
      </c>
      <c r="E345" s="37" t="n">
        <v>0</v>
      </c>
      <c r="F345" s="37" t="n">
        <v>3400</v>
      </c>
      <c r="G345" s="44" t="n">
        <f aca="false">E345+F345</f>
        <v>3400</v>
      </c>
      <c r="H345" s="45" t="n">
        <f aca="false">ROUND(D345*G345,2)</f>
        <v>3400</v>
      </c>
    </row>
    <row r="346" customFormat="false" ht="13.5" hidden="false" customHeight="true" outlineLevel="0" collapsed="false">
      <c r="A346" s="35" t="s">
        <v>801</v>
      </c>
      <c r="B346" s="16" t="s">
        <v>802</v>
      </c>
      <c r="C346" s="17" t="s">
        <v>247</v>
      </c>
      <c r="D346" s="36" t="n">
        <v>7</v>
      </c>
      <c r="E346" s="37" t="n">
        <v>640</v>
      </c>
      <c r="F346" s="37" t="n">
        <v>150</v>
      </c>
      <c r="G346" s="38" t="n">
        <f aca="false">E346+F346</f>
        <v>790</v>
      </c>
      <c r="H346" s="39" t="n">
        <f aca="false">ROUND(D346*G346,2)</f>
        <v>5530</v>
      </c>
    </row>
    <row r="347" customFormat="false" ht="13.5" hidden="false" customHeight="true" outlineLevel="0" collapsed="false">
      <c r="A347" s="40" t="s">
        <v>803</v>
      </c>
      <c r="B347" s="41" t="s">
        <v>804</v>
      </c>
      <c r="C347" s="42" t="s">
        <v>247</v>
      </c>
      <c r="D347" s="43" t="n">
        <v>7</v>
      </c>
      <c r="E347" s="37" t="n">
        <v>88</v>
      </c>
      <c r="F347" s="37" t="n">
        <v>42</v>
      </c>
      <c r="G347" s="44" t="n">
        <f aca="false">E347+F347</f>
        <v>130</v>
      </c>
      <c r="H347" s="45" t="n">
        <f aca="false">ROUND(D347*G347,2)</f>
        <v>910</v>
      </c>
    </row>
    <row r="348" customFormat="false" ht="13.5" hidden="false" customHeight="true" outlineLevel="0" collapsed="false">
      <c r="A348" s="35" t="s">
        <v>805</v>
      </c>
      <c r="B348" s="16" t="s">
        <v>806</v>
      </c>
      <c r="C348" s="17" t="s">
        <v>247</v>
      </c>
      <c r="D348" s="36" t="n">
        <v>3</v>
      </c>
      <c r="E348" s="37" t="n">
        <v>115</v>
      </c>
      <c r="F348" s="37" t="n">
        <v>68</v>
      </c>
      <c r="G348" s="38" t="n">
        <f aca="false">E348+F348</f>
        <v>183</v>
      </c>
      <c r="H348" s="39" t="n">
        <f aca="false">ROUND(D348*G348,2)</f>
        <v>549</v>
      </c>
    </row>
    <row r="349" customFormat="false" ht="13.5" hidden="false" customHeight="true" outlineLevel="0" collapsed="false">
      <c r="A349" s="40" t="s">
        <v>807</v>
      </c>
      <c r="B349" s="41" t="s">
        <v>808</v>
      </c>
      <c r="C349" s="42" t="s">
        <v>247</v>
      </c>
      <c r="D349" s="43" t="n">
        <v>4</v>
      </c>
      <c r="E349" s="37" t="n">
        <v>190</v>
      </c>
      <c r="F349" s="37" t="n">
        <v>88</v>
      </c>
      <c r="G349" s="44" t="n">
        <f aca="false">E349+F349</f>
        <v>278</v>
      </c>
      <c r="H349" s="45" t="n">
        <f aca="false">ROUND(D349*G349,2)</f>
        <v>1112</v>
      </c>
    </row>
    <row r="350" customFormat="false" ht="13.5" hidden="false" customHeight="true" outlineLevel="0" collapsed="false">
      <c r="A350" s="35" t="s">
        <v>809</v>
      </c>
      <c r="B350" s="16" t="s">
        <v>810</v>
      </c>
      <c r="C350" s="17" t="s">
        <v>247</v>
      </c>
      <c r="D350" s="36" t="n">
        <v>7</v>
      </c>
      <c r="E350" s="37" t="n">
        <v>34</v>
      </c>
      <c r="F350" s="37" t="n">
        <v>29</v>
      </c>
      <c r="G350" s="38" t="n">
        <f aca="false">E350+F350</f>
        <v>63</v>
      </c>
      <c r="H350" s="39" t="n">
        <f aca="false">ROUND(D350*G350,2)</f>
        <v>441</v>
      </c>
    </row>
    <row r="351" customFormat="false" ht="13.5" hidden="false" customHeight="true" outlineLevel="0" collapsed="false">
      <c r="A351" s="40" t="s">
        <v>811</v>
      </c>
      <c r="B351" s="41" t="s">
        <v>812</v>
      </c>
      <c r="C351" s="42" t="s">
        <v>228</v>
      </c>
      <c r="D351" s="43" t="n">
        <v>600</v>
      </c>
      <c r="E351" s="37" t="n">
        <v>2.5</v>
      </c>
      <c r="F351" s="37" t="n">
        <v>1.35</v>
      </c>
      <c r="G351" s="44" t="n">
        <f aca="false">E351+F351</f>
        <v>3.85</v>
      </c>
      <c r="H351" s="45" t="n">
        <f aca="false">ROUND(D351*G351,2)</f>
        <v>2310</v>
      </c>
    </row>
    <row r="352" customFormat="false" ht="13.5" hidden="false" customHeight="true" outlineLevel="0" collapsed="false">
      <c r="A352" s="35" t="s">
        <v>813</v>
      </c>
      <c r="B352" s="16" t="s">
        <v>814</v>
      </c>
      <c r="C352" s="17" t="s">
        <v>228</v>
      </c>
      <c r="D352" s="36" t="n">
        <v>100</v>
      </c>
      <c r="E352" s="37" t="n">
        <v>1.85</v>
      </c>
      <c r="F352" s="37" t="n">
        <v>1.25</v>
      </c>
      <c r="G352" s="38" t="n">
        <f aca="false">E352+F352</f>
        <v>3.1</v>
      </c>
      <c r="H352" s="39" t="n">
        <f aca="false">ROUND(D352*G352,2)</f>
        <v>310</v>
      </c>
    </row>
    <row r="353" customFormat="false" ht="13.5" hidden="false" customHeight="true" outlineLevel="0" collapsed="false">
      <c r="A353" s="40" t="s">
        <v>815</v>
      </c>
      <c r="B353" s="41" t="s">
        <v>816</v>
      </c>
      <c r="C353" s="42" t="s">
        <v>228</v>
      </c>
      <c r="D353" s="43" t="n">
        <v>80</v>
      </c>
      <c r="E353" s="37" t="n">
        <v>1.15</v>
      </c>
      <c r="F353" s="37" t="n">
        <v>1.15</v>
      </c>
      <c r="G353" s="44" t="n">
        <f aca="false">E353+F353</f>
        <v>2.3</v>
      </c>
      <c r="H353" s="45" t="n">
        <f aca="false">ROUND(D353*G353,2)</f>
        <v>184</v>
      </c>
    </row>
    <row r="354" customFormat="false" ht="13.5" hidden="false" customHeight="true" outlineLevel="0" collapsed="false">
      <c r="A354" s="35" t="s">
        <v>817</v>
      </c>
      <c r="B354" s="16" t="s">
        <v>818</v>
      </c>
      <c r="C354" s="17" t="s">
        <v>228</v>
      </c>
      <c r="D354" s="36" t="n">
        <v>180</v>
      </c>
      <c r="E354" s="37" t="n">
        <v>3.3</v>
      </c>
      <c r="F354" s="37" t="n">
        <v>4.9</v>
      </c>
      <c r="G354" s="38" t="n">
        <f aca="false">E354+F354</f>
        <v>8.2</v>
      </c>
      <c r="H354" s="39" t="n">
        <f aca="false">ROUND(D354*G354,2)</f>
        <v>1476</v>
      </c>
    </row>
    <row r="355" customFormat="false" ht="13.5" hidden="false" customHeight="true" outlineLevel="0" collapsed="false">
      <c r="A355" s="40" t="s">
        <v>819</v>
      </c>
      <c r="B355" s="41" t="s">
        <v>793</v>
      </c>
      <c r="C355" s="42" t="s">
        <v>228</v>
      </c>
      <c r="D355" s="43" t="n">
        <v>100</v>
      </c>
      <c r="E355" s="37" t="n">
        <v>4.3</v>
      </c>
      <c r="F355" s="37" t="n">
        <v>5.3</v>
      </c>
      <c r="G355" s="44" t="n">
        <f aca="false">E355+F355</f>
        <v>9.6</v>
      </c>
      <c r="H355" s="45" t="n">
        <f aca="false">ROUND(D355*G355,2)</f>
        <v>960</v>
      </c>
    </row>
    <row r="356" customFormat="false" ht="13.5" hidden="false" customHeight="true" outlineLevel="0" collapsed="false">
      <c r="A356" s="35" t="s">
        <v>820</v>
      </c>
      <c r="B356" s="16" t="s">
        <v>821</v>
      </c>
      <c r="C356" s="17" t="s">
        <v>161</v>
      </c>
      <c r="D356" s="36" t="n">
        <v>1</v>
      </c>
      <c r="E356" s="37" t="n">
        <v>2800</v>
      </c>
      <c r="F356" s="37" t="n">
        <v>0</v>
      </c>
      <c r="G356" s="38" t="n">
        <f aca="false">E356+F356</f>
        <v>2800</v>
      </c>
      <c r="H356" s="39" t="n">
        <f aca="false">ROUND(D356*G356,2)</f>
        <v>2800</v>
      </c>
    </row>
    <row r="357" customFormat="false" ht="21.75" hidden="false" customHeight="true" outlineLevel="0" collapsed="false">
      <c r="A357" s="40" t="s">
        <v>822</v>
      </c>
      <c r="B357" s="41" t="s">
        <v>823</v>
      </c>
      <c r="C357" s="42" t="s">
        <v>161</v>
      </c>
      <c r="D357" s="43" t="n">
        <v>1</v>
      </c>
      <c r="E357" s="37" t="n">
        <v>0</v>
      </c>
      <c r="F357" s="37" t="n">
        <v>3800</v>
      </c>
      <c r="G357" s="44" t="n">
        <f aca="false">E357+F357</f>
        <v>3800</v>
      </c>
      <c r="H357" s="45" t="n">
        <f aca="false">ROUND(D357*G357,2)</f>
        <v>3800</v>
      </c>
    </row>
    <row r="358" customFormat="false" ht="19.5" hidden="false" customHeight="true" outlineLevel="0" collapsed="false">
      <c r="A358" s="21" t="s">
        <v>824</v>
      </c>
      <c r="B358" s="46" t="s">
        <v>825</v>
      </c>
      <c r="C358" s="46"/>
      <c r="D358" s="46"/>
      <c r="E358" s="46"/>
      <c r="F358" s="46"/>
      <c r="G358" s="46"/>
      <c r="H358" s="47" t="n">
        <f aca="false">SUM(H338:H357)</f>
        <v>34987.99</v>
      </c>
    </row>
    <row r="360" customFormat="false" ht="19.5" hidden="false" customHeight="true" outlineLevel="0" collapsed="false">
      <c r="A360" s="34" t="s">
        <v>826</v>
      </c>
      <c r="B360" s="34"/>
      <c r="C360" s="34"/>
      <c r="D360" s="34"/>
      <c r="E360" s="34"/>
      <c r="F360" s="34"/>
      <c r="G360" s="34"/>
      <c r="H360" s="34"/>
    </row>
    <row r="361" customFormat="false" ht="13.5" hidden="false" customHeight="true" outlineLevel="0" collapsed="false">
      <c r="A361" s="35" t="s">
        <v>827</v>
      </c>
      <c r="B361" s="16" t="s">
        <v>828</v>
      </c>
      <c r="C361" s="17" t="s">
        <v>228</v>
      </c>
      <c r="D361" s="36" t="n">
        <v>150</v>
      </c>
      <c r="E361" s="37" t="n">
        <v>59</v>
      </c>
      <c r="F361" s="37" t="n">
        <v>35</v>
      </c>
      <c r="G361" s="38" t="n">
        <f aca="false">E361+F361</f>
        <v>94</v>
      </c>
      <c r="H361" s="39" t="n">
        <f aca="false">ROUND(D361*G361,2)</f>
        <v>14100</v>
      </c>
    </row>
    <row r="362" customFormat="false" ht="21.75" hidden="false" customHeight="true" outlineLevel="0" collapsed="false">
      <c r="A362" s="40" t="s">
        <v>829</v>
      </c>
      <c r="B362" s="41" t="s">
        <v>830</v>
      </c>
      <c r="C362" s="42" t="s">
        <v>228</v>
      </c>
      <c r="D362" s="43" t="n">
        <v>4</v>
      </c>
      <c r="E362" s="37" t="n">
        <v>23</v>
      </c>
      <c r="F362" s="37" t="n">
        <v>21</v>
      </c>
      <c r="G362" s="44" t="n">
        <f aca="false">E362+F362</f>
        <v>44</v>
      </c>
      <c r="H362" s="45" t="n">
        <f aca="false">ROUND(D362*G362,2)</f>
        <v>176</v>
      </c>
    </row>
    <row r="363" customFormat="false" ht="21.75" hidden="false" customHeight="true" outlineLevel="0" collapsed="false">
      <c r="A363" s="35" t="s">
        <v>831</v>
      </c>
      <c r="B363" s="16" t="s">
        <v>832</v>
      </c>
      <c r="C363" s="17" t="s">
        <v>161</v>
      </c>
      <c r="D363" s="36" t="n">
        <v>1</v>
      </c>
      <c r="E363" s="37" t="n">
        <v>6800</v>
      </c>
      <c r="F363" s="37" t="n">
        <v>0</v>
      </c>
      <c r="G363" s="38" t="n">
        <f aca="false">E363+F363</f>
        <v>6800</v>
      </c>
      <c r="H363" s="39" t="n">
        <f aca="false">ROUND(D363*G363,2)</f>
        <v>6800</v>
      </c>
    </row>
    <row r="364" customFormat="false" ht="21.75" hidden="false" customHeight="true" outlineLevel="0" collapsed="false">
      <c r="A364" s="40" t="s">
        <v>833</v>
      </c>
      <c r="B364" s="41" t="s">
        <v>834</v>
      </c>
      <c r="C364" s="42" t="s">
        <v>247</v>
      </c>
      <c r="D364" s="43" t="n">
        <v>8</v>
      </c>
      <c r="E364" s="37" t="n">
        <v>98</v>
      </c>
      <c r="F364" s="37" t="n">
        <v>47</v>
      </c>
      <c r="G364" s="44" t="n">
        <f aca="false">E364+F364</f>
        <v>145</v>
      </c>
      <c r="H364" s="45" t="n">
        <f aca="false">ROUND(D364*G364,2)</f>
        <v>1160</v>
      </c>
    </row>
    <row r="365" customFormat="false" ht="21.75" hidden="false" customHeight="true" outlineLevel="0" collapsed="false">
      <c r="A365" s="35" t="s">
        <v>835</v>
      </c>
      <c r="B365" s="16" t="s">
        <v>703</v>
      </c>
      <c r="C365" s="17" t="s">
        <v>334</v>
      </c>
      <c r="D365" s="36" t="n">
        <v>134.86935</v>
      </c>
      <c r="E365" s="37" t="n">
        <v>2.7</v>
      </c>
      <c r="F365" s="37" t="n">
        <v>2.35</v>
      </c>
      <c r="G365" s="38" t="n">
        <f aca="false">E365+F365</f>
        <v>5.05</v>
      </c>
      <c r="H365" s="39" t="n">
        <f aca="false">ROUND(D365*G365,2)</f>
        <v>681.09</v>
      </c>
    </row>
    <row r="366" customFormat="false" ht="13.5" hidden="false" customHeight="true" outlineLevel="0" collapsed="false">
      <c r="A366" s="40" t="s">
        <v>836</v>
      </c>
      <c r="B366" s="41" t="s">
        <v>837</v>
      </c>
      <c r="C366" s="42" t="s">
        <v>161</v>
      </c>
      <c r="D366" s="43" t="n">
        <v>1</v>
      </c>
      <c r="E366" s="37" t="n">
        <v>0</v>
      </c>
      <c r="F366" s="37" t="n">
        <v>1600</v>
      </c>
      <c r="G366" s="44" t="n">
        <f aca="false">E366+F366</f>
        <v>1600</v>
      </c>
      <c r="H366" s="45" t="n">
        <f aca="false">ROUND(D366*G366,2)</f>
        <v>1600</v>
      </c>
    </row>
    <row r="367" customFormat="false" ht="13.5" hidden="false" customHeight="true" outlineLevel="0" collapsed="false">
      <c r="A367" s="35" t="s">
        <v>838</v>
      </c>
      <c r="B367" s="16" t="s">
        <v>839</v>
      </c>
      <c r="C367" s="17" t="s">
        <v>161</v>
      </c>
      <c r="D367" s="36" t="n">
        <v>1</v>
      </c>
      <c r="E367" s="37" t="n">
        <v>2400</v>
      </c>
      <c r="F367" s="37" t="n">
        <v>0</v>
      </c>
      <c r="G367" s="38" t="n">
        <f aca="false">E367+F367</f>
        <v>2400</v>
      </c>
      <c r="H367" s="39" t="n">
        <f aca="false">ROUND(D367*G367,2)</f>
        <v>2400</v>
      </c>
    </row>
    <row r="368" customFormat="false" ht="13.5" hidden="false" customHeight="true" outlineLevel="0" collapsed="false">
      <c r="A368" s="40" t="s">
        <v>840</v>
      </c>
      <c r="B368" s="41" t="s">
        <v>841</v>
      </c>
      <c r="C368" s="42" t="s">
        <v>161</v>
      </c>
      <c r="D368" s="43" t="n">
        <v>1</v>
      </c>
      <c r="E368" s="37" t="n">
        <v>0</v>
      </c>
      <c r="F368" s="37" t="n">
        <v>3400</v>
      </c>
      <c r="G368" s="44" t="n">
        <f aca="false">E368+F368</f>
        <v>3400</v>
      </c>
      <c r="H368" s="45" t="n">
        <f aca="false">ROUND(D368*G368,2)</f>
        <v>3400</v>
      </c>
    </row>
    <row r="369" customFormat="false" ht="19.5" hidden="false" customHeight="true" outlineLevel="0" collapsed="false">
      <c r="A369" s="21" t="s">
        <v>842</v>
      </c>
      <c r="B369" s="46" t="s">
        <v>843</v>
      </c>
      <c r="C369" s="46"/>
      <c r="D369" s="46"/>
      <c r="E369" s="46"/>
      <c r="F369" s="46"/>
      <c r="G369" s="46"/>
      <c r="H369" s="47" t="n">
        <f aca="false">SUM(H361:H368)</f>
        <v>30317.09</v>
      </c>
    </row>
    <row r="371" customFormat="false" ht="24" hidden="false" customHeight="true" outlineLevel="0" collapsed="false">
      <c r="A371" s="48" t="s">
        <v>844</v>
      </c>
      <c r="B371" s="49" t="s">
        <v>845</v>
      </c>
      <c r="C371" s="49"/>
      <c r="D371" s="49"/>
      <c r="E371" s="49"/>
      <c r="F371" s="49"/>
      <c r="G371" s="49"/>
      <c r="H371" s="50" t="n">
        <f aca="false">SUMIF($A:$A,"* TOTAL",$H:$H)</f>
        <v>1792618.86</v>
      </c>
    </row>
  </sheetData>
  <mergeCells count="20">
    <mergeCell ref="A1:H1"/>
    <mergeCell ref="A2:H2"/>
    <mergeCell ref="A3:H3"/>
    <mergeCell ref="A6:H6"/>
    <mergeCell ref="B29:G29"/>
    <mergeCell ref="A31:H31"/>
    <mergeCell ref="B63:G63"/>
    <mergeCell ref="A65:H65"/>
    <mergeCell ref="B177:G177"/>
    <mergeCell ref="A179:H179"/>
    <mergeCell ref="B243:G243"/>
    <mergeCell ref="A245:H245"/>
    <mergeCell ref="B281:G281"/>
    <mergeCell ref="A283:H283"/>
    <mergeCell ref="B335:G335"/>
    <mergeCell ref="A337:H337"/>
    <mergeCell ref="B358:G358"/>
    <mergeCell ref="A360:H360"/>
    <mergeCell ref="B369:G369"/>
    <mergeCell ref="B371:G3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14"/>
    <col collapsed="false" customWidth="true" hidden="false" outlineLevel="0" max="4" min="4" style="0" width="20"/>
    <col collapsed="false" customWidth="true" hidden="false" outlineLevel="0" max="5" min="5" style="0" width="60"/>
    <col collapsed="false" customWidth="true" hidden="false" outlineLevel="0" max="6" min="6" style="0" width="3"/>
  </cols>
  <sheetData>
    <row r="1" customFormat="false" ht="25.5" hidden="false" customHeight="true" outlineLevel="0" collapsed="false">
      <c r="A1" s="10" t="s">
        <v>26</v>
      </c>
      <c r="B1" s="10"/>
      <c r="C1" s="10"/>
      <c r="D1" s="10"/>
      <c r="E1" s="10"/>
      <c r="F1" s="10"/>
    </row>
    <row r="2" customFormat="false" ht="19.5" hidden="false" customHeight="true" outlineLevel="0" collapsed="false">
      <c r="A2" s="11" t="s">
        <v>846</v>
      </c>
      <c r="B2" s="11"/>
      <c r="C2" s="11"/>
      <c r="D2" s="11"/>
      <c r="E2" s="11"/>
      <c r="F2" s="11"/>
    </row>
    <row r="4" customFormat="false" ht="24" hidden="false" customHeight="true" outlineLevel="0" collapsed="false">
      <c r="B4" s="33" t="s">
        <v>847</v>
      </c>
      <c r="C4" s="33" t="s">
        <v>848</v>
      </c>
      <c r="D4" s="33" t="s">
        <v>849</v>
      </c>
      <c r="E4" s="33" t="s">
        <v>850</v>
      </c>
    </row>
    <row r="5" customFormat="false" ht="15" hidden="false" customHeight="false" outlineLevel="0" collapsed="false">
      <c r="B5" s="51" t="s">
        <v>851</v>
      </c>
      <c r="C5" s="17"/>
      <c r="D5" s="52" t="n">
        <f aca="false">SUMIF('5. BOQ DETAIL'!$A:$A,"A TOTAL",'5. BOQ DETAIL'!$H:$H)</f>
        <v>266800</v>
      </c>
      <c r="E5" s="53" t="s">
        <v>852</v>
      </c>
    </row>
    <row r="6" customFormat="false" ht="15" hidden="false" customHeight="false" outlineLevel="0" collapsed="false">
      <c r="B6" s="51" t="s">
        <v>853</v>
      </c>
      <c r="C6" s="17"/>
      <c r="D6" s="52" t="n">
        <f aca="false">SUMIF('5. BOQ DETAIL'!$A:$A,"B TOTAL",'5. BOQ DETAIL'!$H:$H)</f>
        <v>606786.77</v>
      </c>
      <c r="E6" s="53" t="s">
        <v>852</v>
      </c>
    </row>
    <row r="7" customFormat="false" ht="15" hidden="false" customHeight="false" outlineLevel="0" collapsed="false">
      <c r="B7" s="51" t="s">
        <v>854</v>
      </c>
      <c r="C7" s="17"/>
      <c r="D7" s="52" t="n">
        <f aca="false">SUMIF('5. BOQ DETAIL'!$A:$A,"C TOTAL",'5. BOQ DETAIL'!$H:$H)</f>
        <v>365367</v>
      </c>
      <c r="E7" s="53" t="s">
        <v>852</v>
      </c>
    </row>
    <row r="8" customFormat="false" ht="15" hidden="false" customHeight="false" outlineLevel="0" collapsed="false">
      <c r="B8" s="51" t="s">
        <v>855</v>
      </c>
      <c r="C8" s="17"/>
      <c r="D8" s="52" t="n">
        <f aca="false">SUMIF('5. BOQ DETAIL'!$A:$A,"D TOTAL",'5. BOQ DETAIL'!$H:$H)</f>
        <v>275378.78</v>
      </c>
      <c r="E8" s="53" t="s">
        <v>852</v>
      </c>
    </row>
    <row r="9" customFormat="false" ht="15" hidden="false" customHeight="false" outlineLevel="0" collapsed="false">
      <c r="B9" s="51" t="s">
        <v>856</v>
      </c>
      <c r="C9" s="17"/>
      <c r="D9" s="52" t="n">
        <f aca="false">SUMIF('5. BOQ DETAIL'!$A:$A,"E TOTAL",'5. BOQ DETAIL'!$H:$H)</f>
        <v>62252.99</v>
      </c>
      <c r="E9" s="53" t="s">
        <v>852</v>
      </c>
    </row>
    <row r="10" customFormat="false" ht="15" hidden="false" customHeight="false" outlineLevel="0" collapsed="false">
      <c r="B10" s="51" t="s">
        <v>857</v>
      </c>
      <c r="C10" s="17"/>
      <c r="D10" s="52" t="n">
        <f aca="false">SUMIF('5. BOQ DETAIL'!$A:$A,"F TOTAL",'5. BOQ DETAIL'!$H:$H)</f>
        <v>150728.24</v>
      </c>
      <c r="E10" s="53" t="s">
        <v>852</v>
      </c>
    </row>
    <row r="11" customFormat="false" ht="15" hidden="false" customHeight="false" outlineLevel="0" collapsed="false">
      <c r="B11" s="51" t="s">
        <v>858</v>
      </c>
      <c r="C11" s="17"/>
      <c r="D11" s="52" t="n">
        <f aca="false">SUMIF('5. BOQ DETAIL'!$A:$A,"G TOTAL",'5. BOQ DETAIL'!$H:$H)</f>
        <v>34987.99</v>
      </c>
      <c r="E11" s="53" t="s">
        <v>852</v>
      </c>
    </row>
    <row r="12" customFormat="false" ht="15" hidden="false" customHeight="false" outlineLevel="0" collapsed="false">
      <c r="B12" s="51" t="s">
        <v>859</v>
      </c>
      <c r="C12" s="17"/>
      <c r="D12" s="52" t="n">
        <f aca="false">SUMIF('5. BOQ DETAIL'!$A:$A,"H TOTAL",'5. BOQ DETAIL'!$H:$H)</f>
        <v>30317.09</v>
      </c>
      <c r="E12" s="53" t="s">
        <v>852</v>
      </c>
    </row>
    <row r="13" customFormat="false" ht="21.75" hidden="false" customHeight="true" outlineLevel="0" collapsed="false">
      <c r="B13" s="54" t="s">
        <v>860</v>
      </c>
      <c r="C13" s="55"/>
      <c r="D13" s="56" t="n">
        <f aca="false">SUM(D5:D12)</f>
        <v>1792618.86</v>
      </c>
      <c r="E13" s="57" t="s">
        <v>861</v>
      </c>
    </row>
    <row r="14" customFormat="false" ht="21.75" hidden="false" customHeight="true" outlineLevel="0" collapsed="false">
      <c r="B14" s="58" t="s">
        <v>862</v>
      </c>
      <c r="C14" s="59" t="n">
        <v>0.08</v>
      </c>
      <c r="D14" s="60" t="n">
        <f aca="false">ROUND(D13*C14,2)</f>
        <v>143409.51</v>
      </c>
      <c r="E14" s="61" t="s">
        <v>863</v>
      </c>
    </row>
    <row r="15" customFormat="false" ht="21.75" hidden="false" customHeight="true" outlineLevel="0" collapsed="false">
      <c r="B15" s="24" t="s">
        <v>864</v>
      </c>
      <c r="C15" s="62"/>
      <c r="D15" s="63" t="n">
        <f aca="false">D13+D14</f>
        <v>1936028.37</v>
      </c>
      <c r="E15" s="64"/>
    </row>
    <row r="16" customFormat="false" ht="21.75" hidden="false" customHeight="true" outlineLevel="0" collapsed="false">
      <c r="B16" s="58" t="s">
        <v>865</v>
      </c>
      <c r="C16" s="59" t="n">
        <v>0.1</v>
      </c>
      <c r="D16" s="60" t="n">
        <f aca="false">ROUND(D15*C16,2)</f>
        <v>193602.84</v>
      </c>
      <c r="E16" s="61" t="s">
        <v>866</v>
      </c>
    </row>
    <row r="17" customFormat="false" ht="21.75" hidden="false" customHeight="true" outlineLevel="0" collapsed="false">
      <c r="B17" s="24" t="s">
        <v>867</v>
      </c>
      <c r="C17" s="62"/>
      <c r="D17" s="63" t="n">
        <f aca="false">D15+D16</f>
        <v>2129631.21</v>
      </c>
      <c r="E17" s="64"/>
    </row>
    <row r="18" customFormat="false" ht="21.75" hidden="false" customHeight="true" outlineLevel="0" collapsed="false">
      <c r="B18" s="58" t="s">
        <v>868</v>
      </c>
      <c r="C18" s="59" t="n">
        <v>0.03</v>
      </c>
      <c r="D18" s="60" t="n">
        <f aca="false">ROUND(D17*C18,2)</f>
        <v>63888.94</v>
      </c>
      <c r="E18" s="61" t="s">
        <v>869</v>
      </c>
    </row>
    <row r="19" customFormat="false" ht="25.5" hidden="false" customHeight="true" outlineLevel="0" collapsed="false">
      <c r="B19" s="65" t="s">
        <v>870</v>
      </c>
      <c r="C19" s="23"/>
      <c r="D19" s="66" t="n">
        <f aca="false">D17+D18</f>
        <v>2193520.15</v>
      </c>
      <c r="E19" s="67" t="s">
        <v>871</v>
      </c>
    </row>
    <row r="20" customFormat="false" ht="21.75" hidden="false" customHeight="true" outlineLevel="0" collapsed="false">
      <c r="B20" s="58" t="s">
        <v>872</v>
      </c>
      <c r="C20" s="59" t="n">
        <v>0.08</v>
      </c>
      <c r="D20" s="60" t="n">
        <f aca="false">ROUND(D19*C20,2)</f>
        <v>175481.61</v>
      </c>
      <c r="E20" s="61" t="s">
        <v>873</v>
      </c>
    </row>
    <row r="21" customFormat="false" ht="25.5" hidden="false" customHeight="true" outlineLevel="0" collapsed="false">
      <c r="B21" s="68" t="s">
        <v>874</v>
      </c>
      <c r="C21" s="69"/>
      <c r="D21" s="50" t="n">
        <f aca="false">D19+D20</f>
        <v>2369001.76</v>
      </c>
      <c r="E21" s="70"/>
    </row>
    <row r="23" customFormat="false" ht="15" hidden="false" customHeight="false" outlineLevel="0" collapsed="false">
      <c r="B23" s="34" t="s">
        <v>875</v>
      </c>
      <c r="C23" s="34"/>
      <c r="D23" s="34"/>
      <c r="E23" s="34"/>
    </row>
    <row r="24" customFormat="false" ht="15" hidden="false" customHeight="false" outlineLevel="0" collapsed="false">
      <c r="B24" s="51" t="s">
        <v>876</v>
      </c>
      <c r="D24" s="52" t="n">
        <f aca="false">SUMPRODUCT('5. BOQ DETAIL'!$D$6:$D$371,'5. BOQ DETAIL'!$E$6:$E$371)</f>
        <v>963504.3922794</v>
      </c>
      <c r="E24" s="53" t="s">
        <v>877</v>
      </c>
    </row>
    <row r="25" customFormat="false" ht="15" hidden="false" customHeight="false" outlineLevel="0" collapsed="false">
      <c r="B25" s="51" t="s">
        <v>878</v>
      </c>
      <c r="D25" s="52" t="n">
        <f aca="false">SUMPRODUCT('5. BOQ DETAIL'!$D$6:$D$371,'5. BOQ DETAIL'!$F$6:$F$371)</f>
        <v>829114.4822393</v>
      </c>
      <c r="E25" s="53" t="s">
        <v>879</v>
      </c>
    </row>
  </sheetData>
  <mergeCells count="3">
    <mergeCell ref="A1:F1"/>
    <mergeCell ref="A2:F2"/>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4"/>
    <col collapsed="false" customWidth="true" hidden="false" outlineLevel="0" max="4" min="4" style="0" width="18"/>
    <col collapsed="false" customWidth="true" hidden="false" outlineLevel="0" max="5" min="5" style="0" width="46"/>
    <col collapsed="false" customWidth="true" hidden="false" outlineLevel="0" max="6" min="6" style="0" width="3"/>
  </cols>
  <sheetData>
    <row r="1" customFormat="false" ht="25.5" hidden="false" customHeight="true" outlineLevel="0" collapsed="false">
      <c r="A1" s="10" t="s">
        <v>26</v>
      </c>
      <c r="B1" s="10"/>
      <c r="C1" s="10"/>
      <c r="D1" s="10"/>
      <c r="E1" s="10"/>
      <c r="F1" s="10"/>
    </row>
    <row r="2" customFormat="false" ht="19.5" hidden="false" customHeight="true" outlineLevel="0" collapsed="false">
      <c r="A2" s="11" t="s">
        <v>880</v>
      </c>
      <c r="B2" s="11"/>
      <c r="C2" s="11"/>
      <c r="D2" s="11"/>
      <c r="E2" s="11"/>
      <c r="F2" s="11"/>
    </row>
    <row r="4" customFormat="false" ht="15" hidden="false" customHeight="false" outlineLevel="0" collapsed="false">
      <c r="B4" s="28" t="s">
        <v>881</v>
      </c>
      <c r="C4" s="28"/>
      <c r="D4" s="28"/>
      <c r="E4" s="28"/>
    </row>
    <row r="5" customFormat="false" ht="15" hidden="false" customHeight="false" outlineLevel="0" collapsed="false">
      <c r="B5" s="33" t="s">
        <v>882</v>
      </c>
      <c r="C5" s="33" t="s">
        <v>883</v>
      </c>
      <c r="D5" s="33" t="s">
        <v>849</v>
      </c>
      <c r="E5" s="33" t="s">
        <v>884</v>
      </c>
    </row>
    <row r="6" customFormat="false" ht="24" hidden="false" customHeight="true" outlineLevel="0" collapsed="false">
      <c r="B6" s="16" t="s">
        <v>885</v>
      </c>
      <c r="C6" s="71" t="n">
        <v>0.3</v>
      </c>
      <c r="D6" s="39" t="n">
        <f aca="false">ROUND('6. COST SUMMARY'!$D$21*C6,2)</f>
        <v>710700.53</v>
      </c>
      <c r="E6" s="61" t="s">
        <v>886</v>
      </c>
    </row>
    <row r="7" customFormat="false" ht="24" hidden="false" customHeight="true" outlineLevel="0" collapsed="false">
      <c r="B7" s="16" t="s">
        <v>887</v>
      </c>
      <c r="C7" s="71" t="n">
        <v>0.2</v>
      </c>
      <c r="D7" s="39" t="n">
        <f aca="false">ROUND('6. COST SUMMARY'!$D$21*C7,2)</f>
        <v>473800.35</v>
      </c>
      <c r="E7" s="61" t="s">
        <v>888</v>
      </c>
    </row>
    <row r="8" customFormat="false" ht="24" hidden="false" customHeight="true" outlineLevel="0" collapsed="false">
      <c r="B8" s="16" t="s">
        <v>889</v>
      </c>
      <c r="C8" s="71" t="n">
        <v>0.25</v>
      </c>
      <c r="D8" s="39" t="n">
        <f aca="false">ROUND('6. COST SUMMARY'!$D$21*C8,2)</f>
        <v>592250.44</v>
      </c>
      <c r="E8" s="61" t="s">
        <v>890</v>
      </c>
    </row>
    <row r="9" customFormat="false" ht="24" hidden="false" customHeight="true" outlineLevel="0" collapsed="false">
      <c r="B9" s="16" t="s">
        <v>891</v>
      </c>
      <c r="C9" s="71" t="n">
        <v>0.15</v>
      </c>
      <c r="D9" s="39" t="n">
        <f aca="false">ROUND('6. COST SUMMARY'!$D$21*C9,2)</f>
        <v>355350.26</v>
      </c>
      <c r="E9" s="61" t="s">
        <v>892</v>
      </c>
    </row>
    <row r="10" customFormat="false" ht="24" hidden="false" customHeight="true" outlineLevel="0" collapsed="false">
      <c r="B10" s="16" t="s">
        <v>893</v>
      </c>
      <c r="C10" s="71" t="n">
        <v>0.1</v>
      </c>
      <c r="D10" s="39" t="n">
        <f aca="false">ROUND('6. COST SUMMARY'!$D$21*C10,2)</f>
        <v>236900.18</v>
      </c>
      <c r="E10" s="61" t="s">
        <v>894</v>
      </c>
    </row>
    <row r="11" customFormat="false" ht="15" hidden="false" customHeight="false" outlineLevel="0" collapsed="false">
      <c r="B11" s="72" t="s">
        <v>895</v>
      </c>
      <c r="C11" s="23" t="n">
        <f aca="false">SUM(C6:C10)</f>
        <v>1</v>
      </c>
      <c r="D11" s="47" t="n">
        <f aca="false">SUM(D6:D10)</f>
        <v>2369001.76</v>
      </c>
      <c r="E11" s="73"/>
    </row>
    <row r="13" customFormat="false" ht="19.5" hidden="false" customHeight="true" outlineLevel="0" collapsed="false">
      <c r="B13" s="28" t="s">
        <v>896</v>
      </c>
      <c r="C13" s="28"/>
      <c r="D13" s="28"/>
      <c r="E13" s="28"/>
    </row>
    <row r="14" customFormat="false" ht="25.5" hidden="false" customHeight="true" outlineLevel="0" collapsed="false">
      <c r="B14" s="12" t="s">
        <v>897</v>
      </c>
      <c r="C14" s="12"/>
      <c r="D14" s="12"/>
      <c r="E14" s="12"/>
    </row>
    <row r="15" customFormat="false" ht="25.5" hidden="false" customHeight="true" outlineLevel="0" collapsed="false">
      <c r="B15" s="12" t="s">
        <v>898</v>
      </c>
      <c r="C15" s="12"/>
      <c r="D15" s="12"/>
      <c r="E15" s="12"/>
    </row>
    <row r="16" customFormat="false" ht="25.5" hidden="false" customHeight="true" outlineLevel="0" collapsed="false">
      <c r="B16" s="12" t="s">
        <v>899</v>
      </c>
      <c r="C16" s="12"/>
      <c r="D16" s="12"/>
      <c r="E16" s="12"/>
    </row>
    <row r="17" customFormat="false" ht="25.5" hidden="false" customHeight="true" outlineLevel="0" collapsed="false">
      <c r="B17" s="12" t="s">
        <v>900</v>
      </c>
      <c r="C17" s="12"/>
      <c r="D17" s="12"/>
      <c r="E17" s="12"/>
    </row>
    <row r="19" customFormat="false" ht="19.5" hidden="false" customHeight="true" outlineLevel="0" collapsed="false">
      <c r="B19" s="28" t="s">
        <v>901</v>
      </c>
      <c r="C19" s="28"/>
      <c r="D19" s="28"/>
      <c r="E19" s="28"/>
    </row>
    <row r="20" customFormat="false" ht="25.5" hidden="false" customHeight="true" outlineLevel="0" collapsed="false">
      <c r="B20" s="12" t="s">
        <v>902</v>
      </c>
      <c r="C20" s="12"/>
      <c r="D20" s="12"/>
      <c r="E20" s="12"/>
    </row>
    <row r="21" customFormat="false" ht="15" hidden="false" customHeight="true" outlineLevel="0" collapsed="false">
      <c r="B21" s="12" t="s">
        <v>903</v>
      </c>
      <c r="C21" s="12"/>
      <c r="D21" s="12"/>
      <c r="E21" s="12"/>
    </row>
    <row r="22" customFormat="false" ht="25.5" hidden="false" customHeight="true" outlineLevel="0" collapsed="false">
      <c r="B22" s="12" t="s">
        <v>904</v>
      </c>
      <c r="C22" s="12"/>
      <c r="D22" s="12"/>
      <c r="E22" s="12"/>
    </row>
    <row r="23" customFormat="false" ht="25.5" hidden="false" customHeight="true" outlineLevel="0" collapsed="false">
      <c r="B23" s="12" t="s">
        <v>905</v>
      </c>
      <c r="C23" s="12"/>
      <c r="D23" s="12"/>
      <c r="E23" s="12"/>
    </row>
    <row r="24" customFormat="false" ht="25.5" hidden="false" customHeight="true" outlineLevel="0" collapsed="false">
      <c r="B24" s="12" t="s">
        <v>906</v>
      </c>
      <c r="C24" s="12"/>
      <c r="D24" s="12"/>
      <c r="E24" s="12"/>
    </row>
    <row r="26" customFormat="false" ht="19.5" hidden="false" customHeight="true" outlineLevel="0" collapsed="false">
      <c r="B26" s="28" t="s">
        <v>907</v>
      </c>
      <c r="C26" s="28"/>
      <c r="D26" s="28"/>
      <c r="E26" s="28"/>
    </row>
    <row r="27" customFormat="false" ht="15" hidden="false" customHeight="true" outlineLevel="0" collapsed="false">
      <c r="B27" s="12" t="s">
        <v>908</v>
      </c>
      <c r="C27" s="12"/>
      <c r="D27" s="12"/>
      <c r="E27" s="12"/>
    </row>
    <row r="28" customFormat="false" ht="25.5" hidden="false" customHeight="true" outlineLevel="0" collapsed="false">
      <c r="B28" s="12" t="s">
        <v>909</v>
      </c>
      <c r="C28" s="12"/>
      <c r="D28" s="12"/>
      <c r="E28" s="12"/>
    </row>
    <row r="29" customFormat="false" ht="25.5" hidden="false" customHeight="true" outlineLevel="0" collapsed="false">
      <c r="B29" s="12" t="s">
        <v>910</v>
      </c>
      <c r="C29" s="12"/>
      <c r="D29" s="12"/>
      <c r="E29" s="12"/>
    </row>
    <row r="30" customFormat="false" ht="15" hidden="false" customHeight="true" outlineLevel="0" collapsed="false">
      <c r="B30" s="12" t="s">
        <v>911</v>
      </c>
      <c r="C30" s="12"/>
      <c r="D30" s="12"/>
      <c r="E30" s="12"/>
    </row>
    <row r="31" customFormat="false" ht="25.5" hidden="false" customHeight="true" outlineLevel="0" collapsed="false">
      <c r="B31" s="12" t="s">
        <v>912</v>
      </c>
      <c r="C31" s="12"/>
      <c r="D31" s="12"/>
      <c r="E31" s="12"/>
    </row>
    <row r="33" customFormat="false" ht="19.5" hidden="false" customHeight="true" outlineLevel="0" collapsed="false">
      <c r="B33" s="28" t="s">
        <v>913</v>
      </c>
      <c r="C33" s="28"/>
      <c r="D33" s="28"/>
      <c r="E33" s="28"/>
    </row>
    <row r="34" customFormat="false" ht="15" hidden="false" customHeight="true" outlineLevel="0" collapsed="false">
      <c r="B34" s="12" t="s">
        <v>914</v>
      </c>
      <c r="C34" s="12"/>
      <c r="D34" s="12"/>
      <c r="E34" s="12"/>
    </row>
    <row r="35" customFormat="false" ht="25.5" hidden="false" customHeight="true" outlineLevel="0" collapsed="false">
      <c r="B35" s="12" t="s">
        <v>915</v>
      </c>
      <c r="C35" s="12"/>
      <c r="D35" s="12"/>
      <c r="E35" s="12"/>
    </row>
    <row r="36" customFormat="false" ht="25.5" hidden="false" customHeight="true" outlineLevel="0" collapsed="false">
      <c r="B36" s="12" t="s">
        <v>916</v>
      </c>
      <c r="C36" s="12"/>
      <c r="D36" s="12"/>
      <c r="E36" s="12"/>
    </row>
    <row r="37" customFormat="false" ht="15" hidden="false" customHeight="true" outlineLevel="0" collapsed="false">
      <c r="B37" s="12" t="s">
        <v>917</v>
      </c>
      <c r="C37" s="12"/>
      <c r="D37" s="12"/>
      <c r="E37" s="12"/>
    </row>
    <row r="38" customFormat="false" ht="15" hidden="false" customHeight="true" outlineLevel="0" collapsed="false">
      <c r="B38" s="12" t="s">
        <v>918</v>
      </c>
      <c r="C38" s="12"/>
      <c r="D38" s="12"/>
      <c r="E38" s="12"/>
    </row>
    <row r="40" customFormat="false" ht="19.5" hidden="false" customHeight="true" outlineLevel="0" collapsed="false">
      <c r="B40" s="28" t="s">
        <v>919</v>
      </c>
      <c r="C40" s="28"/>
      <c r="D40" s="28"/>
      <c r="E40" s="28"/>
    </row>
    <row r="41" customFormat="false" ht="25.5" hidden="false" customHeight="true" outlineLevel="0" collapsed="false">
      <c r="B41" s="12" t="s">
        <v>920</v>
      </c>
      <c r="C41" s="12"/>
      <c r="D41" s="12"/>
      <c r="E41" s="12"/>
    </row>
    <row r="42" customFormat="false" ht="15" hidden="false" customHeight="true" outlineLevel="0" collapsed="false">
      <c r="B42" s="12" t="s">
        <v>921</v>
      </c>
      <c r="C42" s="12"/>
      <c r="D42" s="12"/>
      <c r="E42" s="12"/>
    </row>
    <row r="43" customFormat="false" ht="25.5" hidden="false" customHeight="true" outlineLevel="0" collapsed="false">
      <c r="B43" s="12" t="s">
        <v>922</v>
      </c>
      <c r="C43" s="12"/>
      <c r="D43" s="12"/>
      <c r="E43" s="12"/>
    </row>
    <row r="44" customFormat="false" ht="25.5" hidden="false" customHeight="true" outlineLevel="0" collapsed="false">
      <c r="B44" s="12" t="s">
        <v>923</v>
      </c>
      <c r="C44" s="12"/>
      <c r="D44" s="12"/>
      <c r="E44" s="12"/>
    </row>
    <row r="46" customFormat="false" ht="15" hidden="false" customHeight="false" outlineLevel="0" collapsed="false">
      <c r="B46" s="74" t="s">
        <v>924</v>
      </c>
      <c r="C46" s="74"/>
      <c r="D46" s="74"/>
      <c r="E46" s="74"/>
    </row>
    <row r="48" customFormat="false" ht="15" hidden="false" customHeight="false" outlineLevel="0" collapsed="false">
      <c r="B48" s="75" t="s">
        <v>23</v>
      </c>
      <c r="C48" s="75"/>
      <c r="D48" s="75"/>
      <c r="E48" s="75"/>
    </row>
    <row r="49" customFormat="false" ht="15" hidden="false" customHeight="false" outlineLevel="0" collapsed="false">
      <c r="B49" s="76" t="s">
        <v>925</v>
      </c>
      <c r="C49" s="76"/>
      <c r="D49" s="76"/>
      <c r="E49" s="76"/>
    </row>
  </sheetData>
  <mergeCells count="34">
    <mergeCell ref="A1:F1"/>
    <mergeCell ref="A2:F2"/>
    <mergeCell ref="B4:E4"/>
    <mergeCell ref="B13:E13"/>
    <mergeCell ref="B14:E14"/>
    <mergeCell ref="B15:E15"/>
    <mergeCell ref="B16:E16"/>
    <mergeCell ref="B17:E17"/>
    <mergeCell ref="B19:E19"/>
    <mergeCell ref="B20:E20"/>
    <mergeCell ref="B21:E21"/>
    <mergeCell ref="B22:E22"/>
    <mergeCell ref="B23:E23"/>
    <mergeCell ref="B24:E24"/>
    <mergeCell ref="B26:E26"/>
    <mergeCell ref="B27:E27"/>
    <mergeCell ref="B28:E28"/>
    <mergeCell ref="B29:E29"/>
    <mergeCell ref="B30:E30"/>
    <mergeCell ref="B31:E31"/>
    <mergeCell ref="B33:E33"/>
    <mergeCell ref="B34:E34"/>
    <mergeCell ref="B35:E35"/>
    <mergeCell ref="B36:E36"/>
    <mergeCell ref="B37:E37"/>
    <mergeCell ref="B38:E38"/>
    <mergeCell ref="B40:E40"/>
    <mergeCell ref="B41:E41"/>
    <mergeCell ref="B42:E42"/>
    <mergeCell ref="B43:E43"/>
    <mergeCell ref="B44:E44"/>
    <mergeCell ref="B46:E46"/>
    <mergeCell ref="B48:E48"/>
    <mergeCell ref="B49:E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56"/>
    <col collapsed="false" customWidth="true" hidden="false" outlineLevel="0" max="4" min="4" style="0" width="9"/>
    <col collapsed="false" customWidth="true" hidden="false" outlineLevel="0" max="28" min="5" style="0" width="3.61"/>
  </cols>
  <sheetData>
    <row r="1" customFormat="false" ht="25.5" hidden="false" customHeight="true" outlineLevel="0" collapsed="false">
      <c r="A1" s="10" t="s">
        <v>26</v>
      </c>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customFormat="false" ht="19.5" hidden="false" customHeight="true" outlineLevel="0" collapsed="false">
      <c r="A2" s="11" t="s">
        <v>926</v>
      </c>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4" customFormat="false" ht="15" hidden="false" customHeight="false" outlineLevel="0" collapsed="false">
      <c r="B4" s="77" t="s">
        <v>927</v>
      </c>
      <c r="C4" s="77"/>
      <c r="D4" s="77"/>
      <c r="E4" s="77"/>
      <c r="F4" s="77"/>
      <c r="G4" s="77"/>
      <c r="H4" s="77"/>
      <c r="I4" s="77"/>
      <c r="J4" s="77"/>
      <c r="K4" s="77"/>
      <c r="L4" s="77"/>
      <c r="M4" s="77"/>
      <c r="N4" s="77"/>
      <c r="O4" s="77"/>
      <c r="P4" s="77"/>
      <c r="Q4" s="77"/>
      <c r="R4" s="77"/>
      <c r="S4" s="77"/>
      <c r="T4" s="77"/>
      <c r="U4" s="77"/>
      <c r="V4" s="77"/>
      <c r="W4" s="77"/>
      <c r="X4" s="77"/>
      <c r="Y4" s="77"/>
      <c r="Z4" s="77"/>
      <c r="AA4" s="77"/>
      <c r="AB4" s="77"/>
    </row>
    <row r="6" customFormat="false" ht="21.75" hidden="false" customHeight="true" outlineLevel="0" collapsed="false">
      <c r="B6" s="78" t="s">
        <v>928</v>
      </c>
      <c r="C6" s="79" t="s">
        <v>929</v>
      </c>
      <c r="D6" s="80" t="s">
        <v>930</v>
      </c>
      <c r="E6" s="81" t="n">
        <v>1</v>
      </c>
      <c r="F6" s="81" t="n">
        <v>2</v>
      </c>
      <c r="G6" s="81" t="n">
        <v>3</v>
      </c>
      <c r="H6" s="81" t="n">
        <v>4</v>
      </c>
      <c r="I6" s="81" t="n">
        <v>5</v>
      </c>
      <c r="J6" s="81" t="n">
        <v>6</v>
      </c>
      <c r="K6" s="81" t="n">
        <v>7</v>
      </c>
      <c r="L6" s="81" t="n">
        <v>8</v>
      </c>
      <c r="M6" s="81" t="n">
        <v>9</v>
      </c>
      <c r="N6" s="81" t="n">
        <v>10</v>
      </c>
      <c r="O6" s="81" t="n">
        <v>11</v>
      </c>
      <c r="P6" s="81" t="n">
        <v>12</v>
      </c>
      <c r="Q6" s="81" t="n">
        <v>13</v>
      </c>
      <c r="R6" s="81" t="n">
        <v>14</v>
      </c>
      <c r="S6" s="81" t="n">
        <v>15</v>
      </c>
      <c r="T6" s="81" t="n">
        <v>16</v>
      </c>
      <c r="U6" s="81" t="n">
        <v>17</v>
      </c>
      <c r="V6" s="81" t="n">
        <v>18</v>
      </c>
      <c r="W6" s="81" t="n">
        <v>19</v>
      </c>
      <c r="X6" s="81" t="n">
        <v>20</v>
      </c>
      <c r="Y6" s="81" t="n">
        <v>21</v>
      </c>
      <c r="Z6" s="81" t="n">
        <v>22</v>
      </c>
      <c r="AA6" s="81" t="n">
        <v>23</v>
      </c>
      <c r="AB6" s="81" t="n">
        <v>24</v>
      </c>
    </row>
    <row r="7" customFormat="false" ht="15.75" hidden="false" customHeight="true" outlineLevel="0" collapsed="false">
      <c r="B7" s="82" t="n">
        <v>1</v>
      </c>
      <c r="C7" s="83" t="s">
        <v>931</v>
      </c>
      <c r="D7" s="84" t="s">
        <v>932</v>
      </c>
      <c r="E7" s="85"/>
      <c r="F7" s="85"/>
      <c r="G7" s="86"/>
      <c r="H7" s="86"/>
      <c r="I7" s="86"/>
      <c r="J7" s="86"/>
      <c r="K7" s="86"/>
      <c r="L7" s="86"/>
      <c r="M7" s="86"/>
      <c r="N7" s="86"/>
      <c r="O7" s="86"/>
      <c r="P7" s="86"/>
      <c r="Q7" s="86"/>
      <c r="R7" s="86"/>
      <c r="S7" s="86"/>
      <c r="T7" s="86"/>
      <c r="U7" s="86"/>
      <c r="V7" s="86"/>
      <c r="W7" s="86"/>
      <c r="X7" s="86"/>
      <c r="Y7" s="86"/>
      <c r="Z7" s="86"/>
      <c r="AA7" s="86"/>
      <c r="AB7" s="86"/>
    </row>
    <row r="8" customFormat="false" ht="15.75" hidden="false" customHeight="true" outlineLevel="0" collapsed="false">
      <c r="B8" s="82" t="n">
        <v>2</v>
      </c>
      <c r="C8" s="83" t="s">
        <v>933</v>
      </c>
      <c r="D8" s="84" t="s">
        <v>932</v>
      </c>
      <c r="E8" s="85"/>
      <c r="F8" s="85"/>
      <c r="G8" s="85"/>
      <c r="H8" s="85"/>
      <c r="I8" s="85"/>
      <c r="J8" s="85"/>
      <c r="K8" s="85"/>
      <c r="L8" s="85"/>
      <c r="M8" s="85"/>
      <c r="N8" s="85"/>
      <c r="O8" s="86"/>
      <c r="P8" s="86"/>
      <c r="Q8" s="86"/>
      <c r="R8" s="86"/>
      <c r="S8" s="86"/>
      <c r="T8" s="86"/>
      <c r="U8" s="86"/>
      <c r="V8" s="86"/>
      <c r="W8" s="86"/>
      <c r="X8" s="86"/>
      <c r="Y8" s="86"/>
      <c r="Z8" s="86"/>
      <c r="AA8" s="86"/>
      <c r="AB8" s="86"/>
    </row>
    <row r="9" customFormat="false" ht="15.75" hidden="false" customHeight="true" outlineLevel="0" collapsed="false">
      <c r="B9" s="82" t="n">
        <v>3</v>
      </c>
      <c r="C9" s="83" t="s">
        <v>934</v>
      </c>
      <c r="D9" s="84" t="s">
        <v>932</v>
      </c>
      <c r="E9" s="85"/>
      <c r="F9" s="85"/>
      <c r="G9" s="85"/>
      <c r="H9" s="85"/>
      <c r="I9" s="86"/>
      <c r="J9" s="86"/>
      <c r="K9" s="86"/>
      <c r="L9" s="86"/>
      <c r="M9" s="86"/>
      <c r="N9" s="86"/>
      <c r="O9" s="86"/>
      <c r="P9" s="86"/>
      <c r="Q9" s="86"/>
      <c r="R9" s="86"/>
      <c r="S9" s="86"/>
      <c r="T9" s="86"/>
      <c r="U9" s="86"/>
      <c r="V9" s="86"/>
      <c r="W9" s="86"/>
      <c r="X9" s="86"/>
      <c r="Y9" s="86"/>
      <c r="Z9" s="86"/>
      <c r="AA9" s="86"/>
      <c r="AB9" s="86"/>
    </row>
    <row r="10" customFormat="false" ht="15.75" hidden="false" customHeight="true" outlineLevel="0" collapsed="false">
      <c r="B10" s="82" t="n">
        <v>4</v>
      </c>
      <c r="C10" s="83" t="s">
        <v>935</v>
      </c>
      <c r="D10" s="84" t="s">
        <v>932</v>
      </c>
      <c r="E10" s="86"/>
      <c r="F10" s="85"/>
      <c r="G10" s="85"/>
      <c r="H10" s="85"/>
      <c r="I10" s="86"/>
      <c r="J10" s="86"/>
      <c r="K10" s="86"/>
      <c r="L10" s="86"/>
      <c r="M10" s="86"/>
      <c r="N10" s="86"/>
      <c r="O10" s="86"/>
      <c r="P10" s="86"/>
      <c r="Q10" s="86"/>
      <c r="R10" s="86"/>
      <c r="S10" s="86"/>
      <c r="T10" s="86"/>
      <c r="U10" s="86"/>
      <c r="V10" s="86"/>
      <c r="W10" s="86"/>
      <c r="X10" s="86"/>
      <c r="Y10" s="86"/>
      <c r="Z10" s="86"/>
      <c r="AA10" s="86"/>
      <c r="AB10" s="86"/>
    </row>
    <row r="11" customFormat="false" ht="15.75" hidden="false" customHeight="true" outlineLevel="0" collapsed="false">
      <c r="B11" s="82" t="n">
        <v>5</v>
      </c>
      <c r="C11" s="16" t="s">
        <v>936</v>
      </c>
      <c r="D11" s="87" t="s">
        <v>937</v>
      </c>
      <c r="E11" s="86"/>
      <c r="F11" s="86"/>
      <c r="G11" s="88"/>
      <c r="H11" s="88"/>
      <c r="I11" s="88"/>
      <c r="J11" s="86"/>
      <c r="K11" s="86"/>
      <c r="L11" s="86"/>
      <c r="M11" s="86"/>
      <c r="N11" s="86"/>
      <c r="O11" s="86"/>
      <c r="P11" s="86"/>
      <c r="Q11" s="86"/>
      <c r="R11" s="86"/>
      <c r="S11" s="86"/>
      <c r="T11" s="86"/>
      <c r="U11" s="86"/>
      <c r="V11" s="86"/>
      <c r="W11" s="86"/>
      <c r="X11" s="86"/>
      <c r="Y11" s="86"/>
      <c r="Z11" s="86"/>
      <c r="AA11" s="86"/>
      <c r="AB11" s="86"/>
    </row>
    <row r="12" customFormat="false" ht="15.75" hidden="false" customHeight="true" outlineLevel="0" collapsed="false">
      <c r="B12" s="82" t="n">
        <v>6</v>
      </c>
      <c r="C12" s="16" t="s">
        <v>938</v>
      </c>
      <c r="D12" s="87" t="s">
        <v>937</v>
      </c>
      <c r="E12" s="86"/>
      <c r="F12" s="88"/>
      <c r="G12" s="88"/>
      <c r="H12" s="88"/>
      <c r="I12" s="88"/>
      <c r="J12" s="86"/>
      <c r="K12" s="86"/>
      <c r="L12" s="86"/>
      <c r="M12" s="86"/>
      <c r="N12" s="86"/>
      <c r="O12" s="86"/>
      <c r="P12" s="86"/>
      <c r="Q12" s="86"/>
      <c r="R12" s="86"/>
      <c r="S12" s="86"/>
      <c r="T12" s="86"/>
      <c r="U12" s="86"/>
      <c r="V12" s="86"/>
      <c r="W12" s="86"/>
      <c r="X12" s="86"/>
      <c r="Y12" s="86"/>
      <c r="Z12" s="86"/>
      <c r="AA12" s="86"/>
      <c r="AB12" s="86"/>
    </row>
    <row r="13" customFormat="false" ht="15.75" hidden="false" customHeight="true" outlineLevel="0" collapsed="false">
      <c r="B13" s="82" t="n">
        <v>7</v>
      </c>
      <c r="C13" s="83" t="s">
        <v>939</v>
      </c>
      <c r="D13" s="84" t="s">
        <v>932</v>
      </c>
      <c r="E13" s="86"/>
      <c r="F13" s="86"/>
      <c r="G13" s="86"/>
      <c r="H13" s="86"/>
      <c r="I13" s="85"/>
      <c r="J13" s="85"/>
      <c r="K13" s="85"/>
      <c r="L13" s="86"/>
      <c r="M13" s="86"/>
      <c r="N13" s="86"/>
      <c r="O13" s="86"/>
      <c r="P13" s="86"/>
      <c r="Q13" s="86"/>
      <c r="R13" s="86"/>
      <c r="S13" s="86"/>
      <c r="T13" s="86"/>
      <c r="U13" s="86"/>
      <c r="V13" s="86"/>
      <c r="W13" s="86"/>
      <c r="X13" s="86"/>
      <c r="Y13" s="86"/>
      <c r="Z13" s="86"/>
      <c r="AA13" s="86"/>
      <c r="AB13" s="86"/>
    </row>
    <row r="14" customFormat="false" ht="15.75" hidden="false" customHeight="true" outlineLevel="0" collapsed="false">
      <c r="B14" s="82" t="n">
        <v>8</v>
      </c>
      <c r="C14" s="16" t="s">
        <v>940</v>
      </c>
      <c r="D14" s="87" t="s">
        <v>937</v>
      </c>
      <c r="E14" s="86"/>
      <c r="F14" s="86"/>
      <c r="G14" s="86"/>
      <c r="H14" s="86"/>
      <c r="I14" s="88"/>
      <c r="J14" s="88"/>
      <c r="K14" s="88"/>
      <c r="L14" s="86"/>
      <c r="M14" s="86"/>
      <c r="N14" s="86"/>
      <c r="O14" s="86"/>
      <c r="P14" s="86"/>
      <c r="Q14" s="86"/>
      <c r="R14" s="86"/>
      <c r="S14" s="86"/>
      <c r="T14" s="86"/>
      <c r="U14" s="86"/>
      <c r="V14" s="86"/>
      <c r="W14" s="86"/>
      <c r="X14" s="86"/>
      <c r="Y14" s="86"/>
      <c r="Z14" s="86"/>
      <c r="AA14" s="86"/>
      <c r="AB14" s="86"/>
    </row>
    <row r="15" customFormat="false" ht="15.75" hidden="false" customHeight="true" outlineLevel="0" collapsed="false">
      <c r="B15" s="82" t="n">
        <v>9</v>
      </c>
      <c r="C15" s="83" t="s">
        <v>941</v>
      </c>
      <c r="D15" s="84" t="s">
        <v>932</v>
      </c>
      <c r="E15" s="86"/>
      <c r="F15" s="86"/>
      <c r="G15" s="86"/>
      <c r="H15" s="86"/>
      <c r="I15" s="86"/>
      <c r="J15" s="86"/>
      <c r="K15" s="85"/>
      <c r="L15" s="85"/>
      <c r="M15" s="85"/>
      <c r="N15" s="85"/>
      <c r="O15" s="85"/>
      <c r="P15" s="85"/>
      <c r="Q15" s="86"/>
      <c r="R15" s="86"/>
      <c r="S15" s="86"/>
      <c r="T15" s="86"/>
      <c r="U15" s="86"/>
      <c r="V15" s="86"/>
      <c r="W15" s="86"/>
      <c r="X15" s="86"/>
      <c r="Y15" s="86"/>
      <c r="Z15" s="86"/>
      <c r="AA15" s="86"/>
      <c r="AB15" s="86"/>
    </row>
    <row r="16" customFormat="false" ht="15.75" hidden="false" customHeight="true" outlineLevel="0" collapsed="false">
      <c r="B16" s="82" t="n">
        <v>10</v>
      </c>
      <c r="C16" s="16" t="s">
        <v>942</v>
      </c>
      <c r="D16" s="87" t="s">
        <v>937</v>
      </c>
      <c r="E16" s="86"/>
      <c r="F16" s="86"/>
      <c r="G16" s="86"/>
      <c r="H16" s="86"/>
      <c r="I16" s="86"/>
      <c r="J16" s="86"/>
      <c r="K16" s="86"/>
      <c r="L16" s="88"/>
      <c r="M16" s="88"/>
      <c r="N16" s="88"/>
      <c r="O16" s="88"/>
      <c r="P16" s="88"/>
      <c r="Q16" s="86"/>
      <c r="R16" s="86"/>
      <c r="S16" s="86"/>
      <c r="T16" s="86"/>
      <c r="U16" s="86"/>
      <c r="V16" s="86"/>
      <c r="W16" s="86"/>
      <c r="X16" s="86"/>
      <c r="Y16" s="86"/>
      <c r="Z16" s="86"/>
      <c r="AA16" s="86"/>
      <c r="AB16" s="86"/>
    </row>
    <row r="17" customFormat="false" ht="15.75" hidden="false" customHeight="true" outlineLevel="0" collapsed="false">
      <c r="B17" s="82" t="n">
        <v>11</v>
      </c>
      <c r="C17" s="16" t="s">
        <v>943</v>
      </c>
      <c r="D17" s="87" t="s">
        <v>937</v>
      </c>
      <c r="E17" s="86"/>
      <c r="F17" s="86"/>
      <c r="G17" s="86"/>
      <c r="H17" s="86"/>
      <c r="I17" s="86"/>
      <c r="J17" s="86"/>
      <c r="K17" s="88"/>
      <c r="L17" s="88"/>
      <c r="M17" s="88"/>
      <c r="N17" s="88"/>
      <c r="O17" s="88"/>
      <c r="P17" s="88"/>
      <c r="Q17" s="88"/>
      <c r="R17" s="86"/>
      <c r="S17" s="86"/>
      <c r="T17" s="86"/>
      <c r="U17" s="86"/>
      <c r="V17" s="86"/>
      <c r="W17" s="86"/>
      <c r="X17" s="86"/>
      <c r="Y17" s="86"/>
      <c r="Z17" s="86"/>
      <c r="AA17" s="86"/>
      <c r="AB17" s="86"/>
    </row>
    <row r="18" customFormat="false" ht="15.75" hidden="false" customHeight="true" outlineLevel="0" collapsed="false">
      <c r="B18" s="82" t="n">
        <v>12</v>
      </c>
      <c r="C18" s="16" t="s">
        <v>944</v>
      </c>
      <c r="D18" s="87" t="s">
        <v>937</v>
      </c>
      <c r="E18" s="86"/>
      <c r="F18" s="86"/>
      <c r="G18" s="86"/>
      <c r="H18" s="86"/>
      <c r="I18" s="86"/>
      <c r="J18" s="86"/>
      <c r="K18" s="86"/>
      <c r="L18" s="88"/>
      <c r="M18" s="88"/>
      <c r="N18" s="88"/>
      <c r="O18" s="88"/>
      <c r="P18" s="88"/>
      <c r="Q18" s="86"/>
      <c r="R18" s="86"/>
      <c r="S18" s="86"/>
      <c r="T18" s="86"/>
      <c r="U18" s="86"/>
      <c r="V18" s="86"/>
      <c r="W18" s="86"/>
      <c r="X18" s="86"/>
      <c r="Y18" s="86"/>
      <c r="Z18" s="86"/>
      <c r="AA18" s="86"/>
      <c r="AB18" s="86"/>
    </row>
    <row r="19" customFormat="false" ht="15.75" hidden="false" customHeight="true" outlineLevel="0" collapsed="false">
      <c r="B19" s="82" t="n">
        <v>13</v>
      </c>
      <c r="C19" s="16" t="s">
        <v>945</v>
      </c>
      <c r="D19" s="87" t="s">
        <v>937</v>
      </c>
      <c r="E19" s="86"/>
      <c r="F19" s="86"/>
      <c r="G19" s="86"/>
      <c r="H19" s="86"/>
      <c r="I19" s="86"/>
      <c r="J19" s="86"/>
      <c r="K19" s="86"/>
      <c r="L19" s="86"/>
      <c r="M19" s="88"/>
      <c r="N19" s="88"/>
      <c r="O19" s="88"/>
      <c r="P19" s="88"/>
      <c r="Q19" s="86"/>
      <c r="R19" s="86"/>
      <c r="S19" s="86"/>
      <c r="T19" s="86"/>
      <c r="U19" s="86"/>
      <c r="V19" s="86"/>
      <c r="W19" s="86"/>
      <c r="X19" s="86"/>
      <c r="Y19" s="86"/>
      <c r="Z19" s="86"/>
      <c r="AA19" s="86"/>
      <c r="AB19" s="86"/>
    </row>
    <row r="20" customFormat="false" ht="15.75" hidden="false" customHeight="true" outlineLevel="0" collapsed="false">
      <c r="B20" s="82" t="n">
        <v>14</v>
      </c>
      <c r="C20" s="83" t="s">
        <v>946</v>
      </c>
      <c r="D20" s="84" t="s">
        <v>932</v>
      </c>
      <c r="E20" s="86"/>
      <c r="F20" s="86"/>
      <c r="G20" s="86"/>
      <c r="H20" s="86"/>
      <c r="I20" s="86"/>
      <c r="J20" s="86"/>
      <c r="K20" s="86"/>
      <c r="L20" s="86"/>
      <c r="M20" s="86"/>
      <c r="N20" s="86"/>
      <c r="O20" s="85"/>
      <c r="P20" s="85"/>
      <c r="Q20" s="85"/>
      <c r="R20" s="85"/>
      <c r="S20" s="86"/>
      <c r="T20" s="86"/>
      <c r="U20" s="86"/>
      <c r="V20" s="86"/>
      <c r="W20" s="86"/>
      <c r="X20" s="86"/>
      <c r="Y20" s="86"/>
      <c r="Z20" s="86"/>
      <c r="AA20" s="86"/>
      <c r="AB20" s="86"/>
    </row>
    <row r="21" customFormat="false" ht="15.75" hidden="false" customHeight="true" outlineLevel="0" collapsed="false">
      <c r="B21" s="82" t="n">
        <v>15</v>
      </c>
      <c r="C21" s="83" t="s">
        <v>947</v>
      </c>
      <c r="D21" s="84" t="s">
        <v>932</v>
      </c>
      <c r="E21" s="86"/>
      <c r="F21" s="86"/>
      <c r="G21" s="86"/>
      <c r="H21" s="86"/>
      <c r="I21" s="86"/>
      <c r="J21" s="86"/>
      <c r="K21" s="86"/>
      <c r="L21" s="86"/>
      <c r="M21" s="86"/>
      <c r="N21" s="86"/>
      <c r="O21" s="86"/>
      <c r="P21" s="86"/>
      <c r="Q21" s="85"/>
      <c r="R21" s="85"/>
      <c r="S21" s="85"/>
      <c r="T21" s="85"/>
      <c r="U21" s="86"/>
      <c r="V21" s="86"/>
      <c r="W21" s="86"/>
      <c r="X21" s="86"/>
      <c r="Y21" s="86"/>
      <c r="Z21" s="86"/>
      <c r="AA21" s="86"/>
      <c r="AB21" s="86"/>
    </row>
    <row r="22" customFormat="false" ht="15.75" hidden="false" customHeight="true" outlineLevel="0" collapsed="false">
      <c r="B22" s="82" t="n">
        <v>16</v>
      </c>
      <c r="C22" s="83" t="s">
        <v>948</v>
      </c>
      <c r="D22" s="84" t="s">
        <v>932</v>
      </c>
      <c r="E22" s="86"/>
      <c r="F22" s="86"/>
      <c r="G22" s="86"/>
      <c r="H22" s="86"/>
      <c r="I22" s="86"/>
      <c r="J22" s="86"/>
      <c r="K22" s="86"/>
      <c r="L22" s="86"/>
      <c r="M22" s="86"/>
      <c r="N22" s="86"/>
      <c r="O22" s="86"/>
      <c r="P22" s="85"/>
      <c r="Q22" s="85"/>
      <c r="R22" s="85"/>
      <c r="S22" s="85"/>
      <c r="T22" s="85"/>
      <c r="U22" s="86"/>
      <c r="V22" s="86"/>
      <c r="W22" s="86"/>
      <c r="X22" s="86"/>
      <c r="Y22" s="86"/>
      <c r="Z22" s="86"/>
      <c r="AA22" s="86"/>
      <c r="AB22" s="86"/>
    </row>
    <row r="23" customFormat="false" ht="15.75" hidden="false" customHeight="true" outlineLevel="0" collapsed="false">
      <c r="B23" s="82" t="n">
        <v>17</v>
      </c>
      <c r="C23" s="16" t="s">
        <v>949</v>
      </c>
      <c r="D23" s="87" t="s">
        <v>937</v>
      </c>
      <c r="E23" s="86"/>
      <c r="F23" s="86"/>
      <c r="G23" s="86"/>
      <c r="H23" s="86"/>
      <c r="I23" s="86"/>
      <c r="J23" s="86"/>
      <c r="K23" s="86"/>
      <c r="L23" s="86"/>
      <c r="M23" s="86"/>
      <c r="N23" s="86"/>
      <c r="O23" s="86"/>
      <c r="P23" s="88"/>
      <c r="Q23" s="88"/>
      <c r="R23" s="88"/>
      <c r="S23" s="88"/>
      <c r="T23" s="88"/>
      <c r="U23" s="86"/>
      <c r="V23" s="86"/>
      <c r="W23" s="86"/>
      <c r="X23" s="86"/>
      <c r="Y23" s="86"/>
      <c r="Z23" s="86"/>
      <c r="AA23" s="86"/>
      <c r="AB23" s="86"/>
    </row>
    <row r="24" customFormat="false" ht="15.75" hidden="false" customHeight="true" outlineLevel="0" collapsed="false">
      <c r="B24" s="82" t="n">
        <v>18</v>
      </c>
      <c r="C24" s="16" t="s">
        <v>950</v>
      </c>
      <c r="D24" s="87" t="s">
        <v>937</v>
      </c>
      <c r="E24" s="86"/>
      <c r="F24" s="86"/>
      <c r="G24" s="86"/>
      <c r="H24" s="86"/>
      <c r="I24" s="86"/>
      <c r="J24" s="86"/>
      <c r="K24" s="86"/>
      <c r="L24" s="86"/>
      <c r="M24" s="86"/>
      <c r="N24" s="86"/>
      <c r="O24" s="86"/>
      <c r="P24" s="86"/>
      <c r="Q24" s="86"/>
      <c r="R24" s="86"/>
      <c r="S24" s="88"/>
      <c r="T24" s="88"/>
      <c r="U24" s="88"/>
      <c r="V24" s="86"/>
      <c r="W24" s="86"/>
      <c r="X24" s="86"/>
      <c r="Y24" s="86"/>
      <c r="Z24" s="86"/>
      <c r="AA24" s="86"/>
      <c r="AB24" s="86"/>
    </row>
    <row r="25" customFormat="false" ht="15.75" hidden="false" customHeight="true" outlineLevel="0" collapsed="false">
      <c r="B25" s="82" t="n">
        <v>19</v>
      </c>
      <c r="C25" s="16" t="s">
        <v>951</v>
      </c>
      <c r="D25" s="87" t="s">
        <v>937</v>
      </c>
      <c r="E25" s="86"/>
      <c r="F25" s="86"/>
      <c r="G25" s="86"/>
      <c r="H25" s="86"/>
      <c r="I25" s="86"/>
      <c r="J25" s="86"/>
      <c r="K25" s="86"/>
      <c r="L25" s="86"/>
      <c r="M25" s="86"/>
      <c r="N25" s="86"/>
      <c r="O25" s="86"/>
      <c r="P25" s="86"/>
      <c r="Q25" s="86"/>
      <c r="R25" s="86"/>
      <c r="S25" s="88"/>
      <c r="T25" s="88"/>
      <c r="U25" s="88"/>
      <c r="V25" s="88"/>
      <c r="W25" s="86"/>
      <c r="X25" s="86"/>
      <c r="Y25" s="86"/>
      <c r="Z25" s="86"/>
      <c r="AA25" s="86"/>
      <c r="AB25" s="86"/>
    </row>
    <row r="26" customFormat="false" ht="15.75" hidden="false" customHeight="true" outlineLevel="0" collapsed="false">
      <c r="B26" s="82" t="n">
        <v>20</v>
      </c>
      <c r="C26" s="83" t="s">
        <v>952</v>
      </c>
      <c r="D26" s="84" t="s">
        <v>932</v>
      </c>
      <c r="E26" s="86"/>
      <c r="F26" s="86"/>
      <c r="G26" s="86"/>
      <c r="H26" s="86"/>
      <c r="I26" s="86"/>
      <c r="J26" s="86"/>
      <c r="K26" s="86"/>
      <c r="L26" s="86"/>
      <c r="M26" s="86"/>
      <c r="N26" s="86"/>
      <c r="O26" s="86"/>
      <c r="P26" s="86"/>
      <c r="Q26" s="86"/>
      <c r="R26" s="86"/>
      <c r="S26" s="86"/>
      <c r="T26" s="85"/>
      <c r="U26" s="85"/>
      <c r="V26" s="85"/>
      <c r="W26" s="86"/>
      <c r="X26" s="86"/>
      <c r="Y26" s="86"/>
      <c r="Z26" s="86"/>
      <c r="AA26" s="86"/>
      <c r="AB26" s="86"/>
    </row>
    <row r="27" customFormat="false" ht="15.75" hidden="false" customHeight="true" outlineLevel="0" collapsed="false">
      <c r="B27" s="82" t="n">
        <v>21</v>
      </c>
      <c r="C27" s="16" t="s">
        <v>953</v>
      </c>
      <c r="D27" s="87" t="s">
        <v>937</v>
      </c>
      <c r="E27" s="86"/>
      <c r="F27" s="86"/>
      <c r="G27" s="86"/>
      <c r="H27" s="86"/>
      <c r="I27" s="86"/>
      <c r="J27" s="86"/>
      <c r="K27" s="86"/>
      <c r="L27" s="86"/>
      <c r="M27" s="86"/>
      <c r="N27" s="86"/>
      <c r="O27" s="86"/>
      <c r="P27" s="86"/>
      <c r="Q27" s="86"/>
      <c r="R27" s="86"/>
      <c r="S27" s="86"/>
      <c r="T27" s="88"/>
      <c r="U27" s="88"/>
      <c r="V27" s="88"/>
      <c r="W27" s="88"/>
      <c r="X27" s="86"/>
      <c r="Y27" s="86"/>
      <c r="Z27" s="86"/>
      <c r="AA27" s="86"/>
      <c r="AB27" s="86"/>
    </row>
    <row r="28" customFormat="false" ht="15.75" hidden="false" customHeight="true" outlineLevel="0" collapsed="false">
      <c r="B28" s="82" t="n">
        <v>22</v>
      </c>
      <c r="C28" s="16" t="s">
        <v>954</v>
      </c>
      <c r="D28" s="87" t="s">
        <v>937</v>
      </c>
      <c r="E28" s="86"/>
      <c r="F28" s="86"/>
      <c r="G28" s="86"/>
      <c r="H28" s="86"/>
      <c r="I28" s="86"/>
      <c r="J28" s="86"/>
      <c r="K28" s="86"/>
      <c r="L28" s="86"/>
      <c r="M28" s="86"/>
      <c r="N28" s="86"/>
      <c r="O28" s="86"/>
      <c r="P28" s="86"/>
      <c r="Q28" s="86"/>
      <c r="R28" s="86"/>
      <c r="S28" s="86"/>
      <c r="T28" s="88"/>
      <c r="U28" s="88"/>
      <c r="V28" s="88"/>
      <c r="W28" s="88"/>
      <c r="X28" s="86"/>
      <c r="Y28" s="86"/>
      <c r="Z28" s="86"/>
      <c r="AA28" s="86"/>
      <c r="AB28" s="86"/>
    </row>
    <row r="29" customFormat="false" ht="15.75" hidden="false" customHeight="true" outlineLevel="0" collapsed="false">
      <c r="B29" s="82" t="n">
        <v>23</v>
      </c>
      <c r="C29" s="16" t="s">
        <v>955</v>
      </c>
      <c r="D29" s="87" t="s">
        <v>937</v>
      </c>
      <c r="E29" s="86"/>
      <c r="F29" s="86"/>
      <c r="G29" s="86"/>
      <c r="H29" s="86"/>
      <c r="I29" s="86"/>
      <c r="J29" s="86"/>
      <c r="K29" s="86"/>
      <c r="L29" s="86"/>
      <c r="M29" s="86"/>
      <c r="N29" s="86"/>
      <c r="O29" s="86"/>
      <c r="P29" s="86"/>
      <c r="Q29" s="86"/>
      <c r="R29" s="86"/>
      <c r="S29" s="86"/>
      <c r="T29" s="86"/>
      <c r="U29" s="88"/>
      <c r="V29" s="88"/>
      <c r="W29" s="88"/>
      <c r="X29" s="86"/>
      <c r="Y29" s="86"/>
      <c r="Z29" s="86"/>
      <c r="AA29" s="86"/>
      <c r="AB29" s="86"/>
    </row>
    <row r="30" customFormat="false" ht="15.75" hidden="false" customHeight="true" outlineLevel="0" collapsed="false">
      <c r="B30" s="82" t="n">
        <v>24</v>
      </c>
      <c r="C30" s="83" t="s">
        <v>956</v>
      </c>
      <c r="D30" s="84" t="s">
        <v>932</v>
      </c>
      <c r="E30" s="86"/>
      <c r="F30" s="86"/>
      <c r="G30" s="86"/>
      <c r="H30" s="86"/>
      <c r="I30" s="86"/>
      <c r="J30" s="86"/>
      <c r="K30" s="86"/>
      <c r="L30" s="86"/>
      <c r="M30" s="86"/>
      <c r="N30" s="86"/>
      <c r="O30" s="86"/>
      <c r="P30" s="86"/>
      <c r="Q30" s="86"/>
      <c r="R30" s="86"/>
      <c r="S30" s="86"/>
      <c r="T30" s="86"/>
      <c r="U30" s="86"/>
      <c r="V30" s="86"/>
      <c r="W30" s="85"/>
      <c r="X30" s="85"/>
      <c r="Y30" s="85"/>
      <c r="Z30" s="86"/>
      <c r="AA30" s="86"/>
      <c r="AB30" s="86"/>
    </row>
    <row r="31" customFormat="false" ht="15.75" hidden="false" customHeight="true" outlineLevel="0" collapsed="false">
      <c r="B31" s="82" t="n">
        <v>25</v>
      </c>
      <c r="C31" s="83" t="s">
        <v>957</v>
      </c>
      <c r="D31" s="84" t="s">
        <v>932</v>
      </c>
      <c r="E31" s="86"/>
      <c r="F31" s="86"/>
      <c r="G31" s="86"/>
      <c r="H31" s="86"/>
      <c r="I31" s="86"/>
      <c r="J31" s="86"/>
      <c r="K31" s="86"/>
      <c r="L31" s="86"/>
      <c r="M31" s="86"/>
      <c r="N31" s="86"/>
      <c r="O31" s="86"/>
      <c r="P31" s="86"/>
      <c r="Q31" s="86"/>
      <c r="R31" s="86"/>
      <c r="S31" s="86"/>
      <c r="T31" s="86"/>
      <c r="U31" s="86"/>
      <c r="V31" s="86"/>
      <c r="W31" s="86"/>
      <c r="X31" s="86"/>
      <c r="Y31" s="85"/>
      <c r="Z31" s="85"/>
      <c r="AA31" s="86"/>
      <c r="AB31" s="86"/>
    </row>
    <row r="32" customFormat="false" ht="15.75" hidden="false" customHeight="true" outlineLevel="0" collapsed="false">
      <c r="B32" s="82" t="n">
        <v>26</v>
      </c>
      <c r="C32" s="83" t="s">
        <v>958</v>
      </c>
      <c r="D32" s="84" t="s">
        <v>932</v>
      </c>
      <c r="E32" s="86"/>
      <c r="F32" s="86"/>
      <c r="G32" s="86"/>
      <c r="H32" s="86"/>
      <c r="I32" s="86"/>
      <c r="J32" s="86"/>
      <c r="K32" s="86"/>
      <c r="L32" s="86"/>
      <c r="M32" s="86"/>
      <c r="N32" s="86"/>
      <c r="O32" s="86"/>
      <c r="P32" s="86"/>
      <c r="Q32" s="86"/>
      <c r="R32" s="86"/>
      <c r="S32" s="86"/>
      <c r="T32" s="86"/>
      <c r="U32" s="86"/>
      <c r="V32" s="86"/>
      <c r="W32" s="86"/>
      <c r="X32" s="86"/>
      <c r="Y32" s="86"/>
      <c r="Z32" s="85"/>
      <c r="AA32" s="85"/>
      <c r="AB32" s="85"/>
    </row>
    <row r="34" customFormat="false" ht="15" hidden="false" customHeight="false" outlineLevel="0" collapsed="false">
      <c r="B34" s="89" t="s">
        <v>959</v>
      </c>
      <c r="C34" s="89"/>
      <c r="D34" s="89"/>
      <c r="E34" s="90"/>
      <c r="F34" s="90"/>
      <c r="G34" s="90"/>
      <c r="H34" s="90"/>
      <c r="I34" s="90"/>
      <c r="J34" s="90"/>
      <c r="K34" s="90"/>
      <c r="L34" s="90"/>
      <c r="M34" s="90"/>
      <c r="N34" s="90"/>
      <c r="O34" s="90"/>
      <c r="P34" s="90"/>
      <c r="Q34" s="90"/>
      <c r="R34" s="90"/>
      <c r="S34" s="90"/>
      <c r="T34" s="90"/>
      <c r="U34" s="90"/>
      <c r="V34" s="90"/>
      <c r="W34" s="90"/>
      <c r="X34" s="90"/>
      <c r="Y34" s="90"/>
      <c r="Z34" s="90"/>
      <c r="AA34" s="90"/>
      <c r="AB34" s="90"/>
    </row>
    <row r="35" customFormat="false" ht="15.75" hidden="false" customHeight="true" outlineLevel="0" collapsed="false">
      <c r="B35" s="91" t="s">
        <v>960</v>
      </c>
      <c r="C35" s="91"/>
      <c r="D35" s="91"/>
      <c r="E35" s="92" t="s">
        <v>961</v>
      </c>
      <c r="F35" s="86"/>
      <c r="G35" s="86"/>
      <c r="H35" s="86"/>
      <c r="I35" s="86"/>
      <c r="J35" s="86"/>
      <c r="K35" s="86"/>
      <c r="L35" s="86"/>
      <c r="M35" s="86"/>
      <c r="N35" s="86"/>
      <c r="O35" s="86"/>
      <c r="P35" s="86"/>
      <c r="Q35" s="86"/>
      <c r="R35" s="86"/>
      <c r="S35" s="86"/>
      <c r="T35" s="86"/>
      <c r="U35" s="86"/>
      <c r="V35" s="86"/>
      <c r="W35" s="86"/>
      <c r="X35" s="86"/>
      <c r="Y35" s="86"/>
      <c r="Z35" s="86"/>
      <c r="AA35" s="86"/>
      <c r="AB35" s="86"/>
    </row>
    <row r="36" customFormat="false" ht="15.75" hidden="false" customHeight="true" outlineLevel="0" collapsed="false">
      <c r="B36" s="91" t="s">
        <v>962</v>
      </c>
      <c r="C36" s="91"/>
      <c r="D36" s="91"/>
      <c r="E36" s="86"/>
      <c r="F36" s="86"/>
      <c r="G36" s="86"/>
      <c r="H36" s="92" t="s">
        <v>961</v>
      </c>
      <c r="I36" s="86"/>
      <c r="J36" s="86"/>
      <c r="K36" s="86"/>
      <c r="L36" s="86"/>
      <c r="M36" s="86"/>
      <c r="N36" s="86"/>
      <c r="O36" s="86"/>
      <c r="P36" s="86"/>
      <c r="Q36" s="86"/>
      <c r="R36" s="86"/>
      <c r="S36" s="86"/>
      <c r="T36" s="86"/>
      <c r="U36" s="86"/>
      <c r="V36" s="86"/>
      <c r="W36" s="86"/>
      <c r="X36" s="86"/>
      <c r="Y36" s="86"/>
      <c r="Z36" s="86"/>
      <c r="AA36" s="86"/>
      <c r="AB36" s="86"/>
    </row>
    <row r="37" customFormat="false" ht="15.75" hidden="false" customHeight="true" outlineLevel="0" collapsed="false">
      <c r="B37" s="91" t="s">
        <v>963</v>
      </c>
      <c r="C37" s="91"/>
      <c r="D37" s="91"/>
      <c r="E37" s="86"/>
      <c r="F37" s="86"/>
      <c r="G37" s="86"/>
      <c r="H37" s="86"/>
      <c r="I37" s="86"/>
      <c r="J37" s="86"/>
      <c r="K37" s="86"/>
      <c r="L37" s="86"/>
      <c r="M37" s="86"/>
      <c r="N37" s="86"/>
      <c r="O37" s="86"/>
      <c r="P37" s="86"/>
      <c r="Q37" s="86"/>
      <c r="R37" s="92" t="s">
        <v>961</v>
      </c>
      <c r="S37" s="86"/>
      <c r="T37" s="86"/>
      <c r="U37" s="86"/>
      <c r="V37" s="86"/>
      <c r="W37" s="86"/>
      <c r="X37" s="86"/>
      <c r="Y37" s="86"/>
      <c r="Z37" s="86"/>
      <c r="AA37" s="86"/>
      <c r="AB37" s="86"/>
    </row>
    <row r="38" customFormat="false" ht="15.75" hidden="false" customHeight="true" outlineLevel="0" collapsed="false">
      <c r="B38" s="91" t="s">
        <v>964</v>
      </c>
      <c r="C38" s="91"/>
      <c r="D38" s="91"/>
      <c r="E38" s="86"/>
      <c r="F38" s="86"/>
      <c r="G38" s="86"/>
      <c r="H38" s="86"/>
      <c r="I38" s="86"/>
      <c r="J38" s="86"/>
      <c r="K38" s="86"/>
      <c r="L38" s="86"/>
      <c r="M38" s="86"/>
      <c r="N38" s="86"/>
      <c r="O38" s="86"/>
      <c r="P38" s="86"/>
      <c r="Q38" s="86"/>
      <c r="R38" s="86"/>
      <c r="S38" s="86"/>
      <c r="T38" s="92" t="s">
        <v>961</v>
      </c>
      <c r="U38" s="86"/>
      <c r="V38" s="86"/>
      <c r="W38" s="86"/>
      <c r="X38" s="86"/>
      <c r="Y38" s="86"/>
      <c r="Z38" s="86"/>
      <c r="AA38" s="86"/>
      <c r="AB38" s="86"/>
    </row>
    <row r="39" customFormat="false" ht="15.75" hidden="false" customHeight="true" outlineLevel="0" collapsed="false">
      <c r="B39" s="91" t="s">
        <v>965</v>
      </c>
      <c r="C39" s="91"/>
      <c r="D39" s="91"/>
      <c r="E39" s="86"/>
      <c r="F39" s="86"/>
      <c r="G39" s="86"/>
      <c r="H39" s="86"/>
      <c r="I39" s="86"/>
      <c r="J39" s="86"/>
      <c r="K39" s="86"/>
      <c r="L39" s="86"/>
      <c r="M39" s="86"/>
      <c r="N39" s="86"/>
      <c r="O39" s="86"/>
      <c r="P39" s="86"/>
      <c r="Q39" s="86"/>
      <c r="R39" s="86"/>
      <c r="S39" s="86"/>
      <c r="T39" s="86"/>
      <c r="U39" s="86"/>
      <c r="V39" s="86"/>
      <c r="W39" s="92" t="s">
        <v>961</v>
      </c>
      <c r="X39" s="86"/>
      <c r="Y39" s="86"/>
      <c r="Z39" s="86"/>
      <c r="AA39" s="86"/>
      <c r="AB39" s="86"/>
    </row>
    <row r="40" customFormat="false" ht="15.75" hidden="false" customHeight="true" outlineLevel="0" collapsed="false">
      <c r="B40" s="91" t="s">
        <v>966</v>
      </c>
      <c r="C40" s="91"/>
      <c r="D40" s="91"/>
      <c r="E40" s="86"/>
      <c r="F40" s="86"/>
      <c r="G40" s="86"/>
      <c r="H40" s="86"/>
      <c r="I40" s="86"/>
      <c r="J40" s="86"/>
      <c r="K40" s="86"/>
      <c r="L40" s="86"/>
      <c r="M40" s="86"/>
      <c r="N40" s="86"/>
      <c r="O40" s="86"/>
      <c r="P40" s="86"/>
      <c r="Q40" s="86"/>
      <c r="R40" s="86"/>
      <c r="S40" s="86"/>
      <c r="T40" s="86"/>
      <c r="U40" s="86"/>
      <c r="V40" s="86"/>
      <c r="W40" s="86"/>
      <c r="X40" s="86"/>
      <c r="Y40" s="92" t="s">
        <v>961</v>
      </c>
      <c r="Z40" s="86"/>
      <c r="AA40" s="86"/>
      <c r="AB40" s="86"/>
    </row>
    <row r="41" customFormat="false" ht="15.75" hidden="false" customHeight="true" outlineLevel="0" collapsed="false">
      <c r="B41" s="91" t="s">
        <v>967</v>
      </c>
      <c r="C41" s="91"/>
      <c r="D41" s="91"/>
      <c r="E41" s="86"/>
      <c r="F41" s="86"/>
      <c r="G41" s="86"/>
      <c r="H41" s="86"/>
      <c r="I41" s="86"/>
      <c r="J41" s="86"/>
      <c r="K41" s="86"/>
      <c r="L41" s="86"/>
      <c r="M41" s="86"/>
      <c r="N41" s="86"/>
      <c r="O41" s="86"/>
      <c r="P41" s="86"/>
      <c r="Q41" s="86"/>
      <c r="R41" s="86"/>
      <c r="S41" s="86"/>
      <c r="T41" s="86"/>
      <c r="U41" s="86"/>
      <c r="V41" s="86"/>
      <c r="W41" s="86"/>
      <c r="X41" s="86"/>
      <c r="Y41" s="86"/>
      <c r="Z41" s="86"/>
      <c r="AA41" s="86"/>
      <c r="AB41" s="92" t="s">
        <v>961</v>
      </c>
    </row>
    <row r="43" customFormat="false" ht="15" hidden="false" customHeight="false" outlineLevel="0" collapsed="false">
      <c r="B43" s="93" t="s">
        <v>968</v>
      </c>
      <c r="C43" s="93"/>
      <c r="D43" s="93"/>
      <c r="E43" s="94"/>
      <c r="F43" s="94"/>
      <c r="G43" s="94"/>
      <c r="H43" s="94"/>
      <c r="I43" s="94"/>
      <c r="J43" s="94"/>
      <c r="K43" s="94"/>
      <c r="L43" s="94"/>
      <c r="M43" s="94"/>
      <c r="N43" s="94"/>
      <c r="O43" s="94"/>
      <c r="P43" s="94"/>
      <c r="Q43" s="94"/>
      <c r="R43" s="94"/>
      <c r="S43" s="94"/>
      <c r="T43" s="94"/>
      <c r="U43" s="94"/>
      <c r="V43" s="94"/>
      <c r="W43" s="94"/>
      <c r="X43" s="94"/>
      <c r="Y43" s="94"/>
      <c r="Z43" s="94"/>
      <c r="AA43" s="94"/>
      <c r="AB43" s="94"/>
    </row>
    <row r="44" customFormat="false" ht="15.75" hidden="false" customHeight="true" outlineLevel="0" collapsed="false">
      <c r="B44" s="95" t="s">
        <v>969</v>
      </c>
      <c r="C44" s="95"/>
      <c r="D44" s="95"/>
      <c r="E44" s="96" t="s">
        <v>970</v>
      </c>
      <c r="F44" s="86"/>
      <c r="G44" s="86"/>
      <c r="H44" s="86"/>
      <c r="I44" s="86"/>
      <c r="J44" s="86"/>
      <c r="K44" s="86"/>
      <c r="L44" s="86"/>
      <c r="M44" s="86"/>
      <c r="N44" s="86"/>
      <c r="O44" s="86"/>
      <c r="P44" s="86"/>
      <c r="Q44" s="86"/>
      <c r="R44" s="86"/>
      <c r="S44" s="86"/>
      <c r="T44" s="86"/>
      <c r="U44" s="86"/>
      <c r="V44" s="86"/>
      <c r="W44" s="86"/>
      <c r="X44" s="86"/>
      <c r="Y44" s="86"/>
      <c r="Z44" s="86"/>
      <c r="AA44" s="86"/>
      <c r="AB44" s="86"/>
    </row>
    <row r="45" customFormat="false" ht="15.75" hidden="false" customHeight="true" outlineLevel="0" collapsed="false">
      <c r="B45" s="95" t="s">
        <v>971</v>
      </c>
      <c r="C45" s="95"/>
      <c r="D45" s="95"/>
      <c r="E45" s="86"/>
      <c r="F45" s="86"/>
      <c r="G45" s="86"/>
      <c r="H45" s="86"/>
      <c r="I45" s="86"/>
      <c r="J45" s="86"/>
      <c r="K45" s="96" t="s">
        <v>970</v>
      </c>
      <c r="L45" s="86"/>
      <c r="M45" s="86"/>
      <c r="N45" s="86"/>
      <c r="O45" s="86"/>
      <c r="P45" s="86"/>
      <c r="Q45" s="86"/>
      <c r="R45" s="86"/>
      <c r="S45" s="86"/>
      <c r="T45" s="86"/>
      <c r="U45" s="86"/>
      <c r="V45" s="86"/>
      <c r="W45" s="86"/>
      <c r="X45" s="86"/>
      <c r="Y45" s="86"/>
      <c r="Z45" s="86"/>
      <c r="AA45" s="86"/>
      <c r="AB45" s="86"/>
    </row>
    <row r="46" customFormat="false" ht="15.75" hidden="false" customHeight="true" outlineLevel="0" collapsed="false">
      <c r="B46" s="95" t="s">
        <v>972</v>
      </c>
      <c r="C46" s="95"/>
      <c r="D46" s="95"/>
      <c r="E46" s="86"/>
      <c r="F46" s="86"/>
      <c r="G46" s="86"/>
      <c r="H46" s="86"/>
      <c r="I46" s="86"/>
      <c r="J46" s="86"/>
      <c r="K46" s="86"/>
      <c r="L46" s="86"/>
      <c r="M46" s="86"/>
      <c r="N46" s="86"/>
      <c r="O46" s="86"/>
      <c r="P46" s="86"/>
      <c r="Q46" s="96" t="s">
        <v>970</v>
      </c>
      <c r="R46" s="86"/>
      <c r="S46" s="86"/>
      <c r="T46" s="86"/>
      <c r="U46" s="86"/>
      <c r="V46" s="86"/>
      <c r="W46" s="86"/>
      <c r="X46" s="86"/>
      <c r="Y46" s="86"/>
      <c r="Z46" s="86"/>
      <c r="AA46" s="86"/>
      <c r="AB46" s="86"/>
    </row>
    <row r="47" customFormat="false" ht="15.75" hidden="false" customHeight="true" outlineLevel="0" collapsed="false">
      <c r="B47" s="95" t="s">
        <v>973</v>
      </c>
      <c r="C47" s="95"/>
      <c r="D47" s="95"/>
      <c r="E47" s="86"/>
      <c r="F47" s="86"/>
      <c r="G47" s="86"/>
      <c r="H47" s="86"/>
      <c r="I47" s="86"/>
      <c r="J47" s="86"/>
      <c r="K47" s="86"/>
      <c r="L47" s="86"/>
      <c r="M47" s="86"/>
      <c r="N47" s="86"/>
      <c r="O47" s="86"/>
      <c r="P47" s="86"/>
      <c r="Q47" s="86"/>
      <c r="R47" s="86"/>
      <c r="S47" s="86"/>
      <c r="T47" s="86"/>
      <c r="U47" s="86"/>
      <c r="V47" s="96" t="s">
        <v>970</v>
      </c>
      <c r="W47" s="86"/>
      <c r="X47" s="86"/>
      <c r="Y47" s="86"/>
      <c r="Z47" s="86"/>
      <c r="AA47" s="86"/>
      <c r="AB47" s="86"/>
    </row>
    <row r="48" customFormat="false" ht="15.75" hidden="false" customHeight="true" outlineLevel="0" collapsed="false">
      <c r="B48" s="95" t="s">
        <v>974</v>
      </c>
      <c r="C48" s="95"/>
      <c r="D48" s="95"/>
      <c r="E48" s="86"/>
      <c r="F48" s="86"/>
      <c r="G48" s="86"/>
      <c r="H48" s="86"/>
      <c r="I48" s="86"/>
      <c r="J48" s="86"/>
      <c r="K48" s="86"/>
      <c r="L48" s="86"/>
      <c r="M48" s="86"/>
      <c r="N48" s="86"/>
      <c r="O48" s="86"/>
      <c r="P48" s="86"/>
      <c r="Q48" s="86"/>
      <c r="R48" s="86"/>
      <c r="S48" s="86"/>
      <c r="T48" s="86"/>
      <c r="U48" s="86"/>
      <c r="V48" s="86"/>
      <c r="W48" s="86"/>
      <c r="X48" s="86"/>
      <c r="Y48" s="86"/>
      <c r="Z48" s="86"/>
      <c r="AA48" s="86"/>
      <c r="AB48" s="96" t="s">
        <v>970</v>
      </c>
    </row>
    <row r="50" customFormat="false" ht="15" hidden="false" customHeight="true" outlineLevel="0" collapsed="false">
      <c r="B50" s="97" t="s">
        <v>975</v>
      </c>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row>
    <row r="51" customFormat="false" ht="15" hidden="false" customHeight="false" outlineLevel="0" collapsed="false">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row>
    <row r="52" customFormat="false" ht="15" hidden="false" customHeight="false" outlineLevel="0" collapsed="false">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row>
    <row r="53" customFormat="false" ht="15" hidden="false" customHeight="false" outlineLevel="0" collapsed="false">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row>
  </sheetData>
  <mergeCells count="18">
    <mergeCell ref="A1:AB1"/>
    <mergeCell ref="A2:AB2"/>
    <mergeCell ref="B4:AB4"/>
    <mergeCell ref="B34:D34"/>
    <mergeCell ref="B35:D35"/>
    <mergeCell ref="B36:D36"/>
    <mergeCell ref="B37:D37"/>
    <mergeCell ref="B38:D38"/>
    <mergeCell ref="B39:D39"/>
    <mergeCell ref="B40:D40"/>
    <mergeCell ref="B41:D41"/>
    <mergeCell ref="B43:D43"/>
    <mergeCell ref="B44:D44"/>
    <mergeCell ref="B45:D45"/>
    <mergeCell ref="B46:D46"/>
    <mergeCell ref="B47:D47"/>
    <mergeCell ref="B48:D48"/>
    <mergeCell ref="B50:AB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60"/>
    <col collapsed="false" customWidth="true" hidden="false" outlineLevel="0" max="4" min="4" style="0" width="12"/>
    <col collapsed="false" customWidth="true" hidden="false" outlineLevel="0" max="5" min="5" style="0" width="15"/>
    <col collapsed="false" customWidth="true" hidden="false" outlineLevel="0" max="6" min="6" style="0" width="62"/>
    <col collapsed="false" customWidth="true" hidden="false" outlineLevel="0" max="7" min="7" style="0" width="3"/>
  </cols>
  <sheetData>
    <row r="1" customFormat="false" ht="25.5" hidden="false" customHeight="true" outlineLevel="0" collapsed="false">
      <c r="A1" s="10" t="s">
        <v>26</v>
      </c>
      <c r="B1" s="10"/>
      <c r="C1" s="10"/>
      <c r="D1" s="10"/>
      <c r="E1" s="10"/>
      <c r="F1" s="10"/>
      <c r="G1" s="10"/>
    </row>
    <row r="2" customFormat="false" ht="19.5" hidden="false" customHeight="true" outlineLevel="0" collapsed="false">
      <c r="A2" s="11" t="s">
        <v>976</v>
      </c>
      <c r="B2" s="11"/>
      <c r="C2" s="11"/>
      <c r="D2" s="11"/>
      <c r="E2" s="11"/>
      <c r="F2" s="11"/>
      <c r="G2" s="11"/>
    </row>
    <row r="4" customFormat="false" ht="15" hidden="false" customHeight="true" outlineLevel="0" collapsed="false">
      <c r="B4" s="97" t="s">
        <v>977</v>
      </c>
      <c r="C4" s="97"/>
      <c r="D4" s="97"/>
      <c r="E4" s="97"/>
      <c r="F4" s="97"/>
    </row>
    <row r="5" customFormat="false" ht="15" hidden="false" customHeight="false" outlineLevel="0" collapsed="false">
      <c r="B5" s="97"/>
      <c r="C5" s="97"/>
      <c r="D5" s="97"/>
      <c r="E5" s="97"/>
      <c r="F5" s="97"/>
    </row>
    <row r="7" customFormat="false" ht="15" hidden="false" customHeight="false" outlineLevel="0" collapsed="false">
      <c r="B7" s="28" t="s">
        <v>978</v>
      </c>
      <c r="C7" s="28"/>
      <c r="D7" s="28"/>
      <c r="E7" s="28"/>
      <c r="F7" s="28"/>
    </row>
    <row r="8" customFormat="false" ht="25.5" hidden="false" customHeight="true" outlineLevel="0" collapsed="false">
      <c r="B8" s="33" t="s">
        <v>979</v>
      </c>
      <c r="C8" s="33" t="s">
        <v>980</v>
      </c>
      <c r="D8" s="33" t="s">
        <v>981</v>
      </c>
      <c r="E8" s="33" t="s">
        <v>982</v>
      </c>
      <c r="F8" s="33" t="s">
        <v>983</v>
      </c>
    </row>
    <row r="9" customFormat="false" ht="30" hidden="false" customHeight="true" outlineLevel="0" collapsed="false">
      <c r="B9" s="35" t="s">
        <v>984</v>
      </c>
      <c r="C9" s="98" t="s">
        <v>985</v>
      </c>
      <c r="D9" s="99" t="s">
        <v>986</v>
      </c>
      <c r="E9" s="100" t="n">
        <v>15400</v>
      </c>
      <c r="F9" s="101" t="s">
        <v>987</v>
      </c>
    </row>
    <row r="10" customFormat="false" ht="33" hidden="false" customHeight="true" outlineLevel="0" collapsed="false">
      <c r="B10" s="35" t="s">
        <v>988</v>
      </c>
      <c r="C10" s="98" t="s">
        <v>989</v>
      </c>
      <c r="D10" s="99" t="s">
        <v>990</v>
      </c>
      <c r="E10" s="100" t="n">
        <v>13287.63</v>
      </c>
      <c r="F10" s="101" t="s">
        <v>991</v>
      </c>
    </row>
    <row r="11" customFormat="false" ht="33" hidden="false" customHeight="true" outlineLevel="0" collapsed="false">
      <c r="B11" s="35" t="s">
        <v>992</v>
      </c>
      <c r="C11" s="98" t="s">
        <v>993</v>
      </c>
      <c r="D11" s="99" t="s">
        <v>994</v>
      </c>
      <c r="E11" s="100" t="n">
        <v>13295.04</v>
      </c>
      <c r="F11" s="101" t="s">
        <v>995</v>
      </c>
    </row>
    <row r="12" customFormat="false" ht="33" hidden="false" customHeight="true" outlineLevel="0" collapsed="false">
      <c r="B12" s="35" t="s">
        <v>996</v>
      </c>
      <c r="C12" s="98" t="s">
        <v>997</v>
      </c>
      <c r="D12" s="99" t="s">
        <v>994</v>
      </c>
      <c r="E12" s="100" t="n">
        <v>20302.49</v>
      </c>
      <c r="F12" s="101" t="s">
        <v>998</v>
      </c>
    </row>
    <row r="13" customFormat="false" ht="30" hidden="false" customHeight="true" outlineLevel="0" collapsed="false">
      <c r="B13" s="35" t="s">
        <v>999</v>
      </c>
      <c r="C13" s="98" t="s">
        <v>1000</v>
      </c>
      <c r="D13" s="102" t="s">
        <v>1001</v>
      </c>
      <c r="E13" s="100" t="n">
        <v>6948.02</v>
      </c>
      <c r="F13" s="101" t="s">
        <v>1002</v>
      </c>
    </row>
    <row r="14" customFormat="false" ht="33" hidden="false" customHeight="true" outlineLevel="0" collapsed="false">
      <c r="B14" s="35" t="s">
        <v>1003</v>
      </c>
      <c r="C14" s="98" t="s">
        <v>1004</v>
      </c>
      <c r="D14" s="99" t="s">
        <v>994</v>
      </c>
      <c r="E14" s="100" t="n">
        <v>2136.42</v>
      </c>
      <c r="F14" s="101" t="s">
        <v>1005</v>
      </c>
    </row>
    <row r="15" customFormat="false" ht="30" hidden="false" customHeight="true" outlineLevel="0" collapsed="false">
      <c r="B15" s="35" t="s">
        <v>1006</v>
      </c>
      <c r="C15" s="98" t="s">
        <v>1007</v>
      </c>
      <c r="D15" s="102" t="s">
        <v>1001</v>
      </c>
      <c r="E15" s="100" t="n">
        <v>9500</v>
      </c>
      <c r="F15" s="101" t="s">
        <v>1008</v>
      </c>
    </row>
    <row r="16" customFormat="false" ht="15" hidden="false" customHeight="false" outlineLevel="0" collapsed="false">
      <c r="B16" s="21" t="s">
        <v>1009</v>
      </c>
      <c r="C16" s="72" t="s">
        <v>1010</v>
      </c>
      <c r="D16" s="21" t="s">
        <v>990</v>
      </c>
      <c r="E16" s="103" t="n">
        <f aca="false">SUM(E9:E15)</f>
        <v>80869.6</v>
      </c>
      <c r="F16" s="73"/>
    </row>
    <row r="18" customFormat="false" ht="15" hidden="false" customHeight="false" outlineLevel="0" collapsed="false">
      <c r="B18" s="28" t="s">
        <v>1011</v>
      </c>
      <c r="C18" s="28"/>
      <c r="D18" s="28"/>
      <c r="E18" s="28"/>
      <c r="F18" s="28"/>
    </row>
    <row r="19" customFormat="false" ht="25.5" hidden="false" customHeight="true" outlineLevel="0" collapsed="false">
      <c r="B19" s="33" t="s">
        <v>979</v>
      </c>
      <c r="C19" s="33" t="s">
        <v>980</v>
      </c>
      <c r="D19" s="33" t="s">
        <v>1012</v>
      </c>
      <c r="E19" s="33" t="s">
        <v>1013</v>
      </c>
      <c r="F19" s="33" t="s">
        <v>983</v>
      </c>
    </row>
    <row r="20" customFormat="false" ht="31.5" hidden="false" customHeight="true" outlineLevel="0" collapsed="false">
      <c r="B20" s="35" t="s">
        <v>1014</v>
      </c>
      <c r="C20" s="98" t="s">
        <v>1015</v>
      </c>
      <c r="D20" s="104" t="n">
        <v>11500</v>
      </c>
      <c r="E20" s="100" t="n">
        <v>8600</v>
      </c>
      <c r="F20" s="101" t="s">
        <v>1016</v>
      </c>
    </row>
    <row r="21" customFormat="false" ht="31.5" hidden="false" customHeight="true" outlineLevel="0" collapsed="false">
      <c r="B21" s="35" t="s">
        <v>1017</v>
      </c>
      <c r="C21" s="98" t="s">
        <v>1018</v>
      </c>
      <c r="D21" s="104" t="n">
        <v>6800</v>
      </c>
      <c r="E21" s="100" t="n">
        <v>5400</v>
      </c>
      <c r="F21" s="101" t="s">
        <v>1019</v>
      </c>
    </row>
    <row r="22" customFormat="false" ht="31.5" hidden="false" customHeight="true" outlineLevel="0" collapsed="false">
      <c r="B22" s="35" t="s">
        <v>1020</v>
      </c>
      <c r="C22" s="98" t="s">
        <v>1021</v>
      </c>
      <c r="D22" s="104" t="n">
        <v>0</v>
      </c>
      <c r="E22" s="100" t="n">
        <v>3200</v>
      </c>
      <c r="F22" s="101" t="s">
        <v>1022</v>
      </c>
    </row>
    <row r="23" customFormat="false" ht="15" hidden="false" customHeight="false" outlineLevel="0" collapsed="false">
      <c r="B23" s="21" t="s">
        <v>1009</v>
      </c>
      <c r="C23" s="72" t="s">
        <v>895</v>
      </c>
      <c r="D23" s="47" t="n">
        <f aca="false">SUM(D20:D22)</f>
        <v>18300</v>
      </c>
      <c r="E23" s="47" t="n">
        <f aca="false">SUM(E20:E22)</f>
        <v>17200</v>
      </c>
      <c r="F23" s="73"/>
    </row>
    <row r="25" customFormat="false" ht="15" hidden="false" customHeight="true" outlineLevel="0" collapsed="false">
      <c r="B25" s="105" t="s">
        <v>1023</v>
      </c>
      <c r="C25" s="105"/>
      <c r="D25" s="105"/>
      <c r="E25" s="105"/>
      <c r="F25" s="105"/>
    </row>
    <row r="26" customFormat="false" ht="15" hidden="false" customHeight="false" outlineLevel="0" collapsed="false">
      <c r="B26" s="105"/>
      <c r="C26" s="105"/>
      <c r="D26" s="105"/>
      <c r="E26" s="105"/>
      <c r="F26" s="105"/>
    </row>
    <row r="27" customFormat="false" ht="15" hidden="false" customHeight="false" outlineLevel="0" collapsed="false">
      <c r="B27" s="105"/>
      <c r="C27" s="105"/>
      <c r="D27" s="105"/>
      <c r="E27" s="105"/>
      <c r="F27" s="105"/>
    </row>
    <row r="28" customFormat="false" ht="15" hidden="false" customHeight="false" outlineLevel="0" collapsed="false">
      <c r="B28" s="105"/>
      <c r="C28" s="105"/>
      <c r="D28" s="105"/>
      <c r="E28" s="105"/>
      <c r="F28" s="105"/>
    </row>
  </sheetData>
  <mergeCells count="6">
    <mergeCell ref="A1:G1"/>
    <mergeCell ref="A2:G2"/>
    <mergeCell ref="B4:F5"/>
    <mergeCell ref="B7:F7"/>
    <mergeCell ref="B18:F18"/>
    <mergeCell ref="B25: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20"/>
    <col collapsed="false" customWidth="true" hidden="false" outlineLevel="0" max="6" min="6" style="0" width="3"/>
  </cols>
  <sheetData>
    <row r="1" customFormat="false" ht="25.5" hidden="false" customHeight="true" outlineLevel="0" collapsed="false">
      <c r="A1" s="10" t="s">
        <v>26</v>
      </c>
      <c r="B1" s="10"/>
      <c r="C1" s="10"/>
      <c r="D1" s="10"/>
      <c r="E1" s="10"/>
      <c r="F1" s="10"/>
    </row>
    <row r="2" customFormat="false" ht="19.5" hidden="false" customHeight="true" outlineLevel="0" collapsed="false">
      <c r="A2" s="11" t="s">
        <v>1024</v>
      </c>
      <c r="B2" s="11"/>
      <c r="C2" s="11"/>
      <c r="D2" s="11"/>
      <c r="E2" s="11"/>
      <c r="F2" s="11"/>
    </row>
    <row r="4" customFormat="false" ht="22.35" hidden="false" customHeight="true" outlineLevel="0" collapsed="false">
      <c r="B4" s="27" t="s">
        <v>1025</v>
      </c>
      <c r="C4" s="27"/>
      <c r="D4" s="27"/>
      <c r="E4" s="27"/>
    </row>
    <row r="6" customFormat="false" ht="24" hidden="false" customHeight="true" outlineLevel="0" collapsed="false">
      <c r="B6" s="106" t="s">
        <v>847</v>
      </c>
      <c r="C6" s="106" t="s">
        <v>1026</v>
      </c>
      <c r="D6" s="106" t="s">
        <v>1027</v>
      </c>
      <c r="E6" s="106" t="s">
        <v>1028</v>
      </c>
    </row>
    <row r="7" customFormat="false" ht="21" hidden="false" customHeight="true" outlineLevel="0" collapsed="false">
      <c r="B7" s="58" t="s">
        <v>1029</v>
      </c>
      <c r="C7" s="107" t="n">
        <f aca="false">'6. COST SUMMARY'!D13</f>
        <v>1792618.86</v>
      </c>
      <c r="D7" s="108" t="n">
        <f aca="false">C7-'9. VALUE ENGINEERING'!E16</f>
        <v>1711749.26</v>
      </c>
      <c r="E7" s="109" t="n">
        <f aca="false">D7-C7</f>
        <v>-80869.6000000001</v>
      </c>
    </row>
    <row r="8" customFormat="false" ht="21" hidden="false" customHeight="true" outlineLevel="0" collapsed="false">
      <c r="B8" s="58" t="s">
        <v>1030</v>
      </c>
      <c r="C8" s="107" t="n">
        <f aca="false">ROUND(C7*'6. COST SUMMARY'!C14,2)</f>
        <v>143409.51</v>
      </c>
      <c r="D8" s="108" t="n">
        <f aca="false">ROUND(D7*'6. COST SUMMARY'!C14,2)</f>
        <v>136939.94</v>
      </c>
      <c r="E8" s="109" t="n">
        <f aca="false">D8-C8</f>
        <v>-6469.57000000001</v>
      </c>
    </row>
    <row r="9" customFormat="false" ht="21" hidden="false" customHeight="true" outlineLevel="0" collapsed="false">
      <c r="B9" s="58" t="s">
        <v>1031</v>
      </c>
      <c r="C9" s="107" t="n">
        <f aca="false">ROUND((C7+C8)*'6. COST SUMMARY'!C16,2)</f>
        <v>193602.84</v>
      </c>
      <c r="D9" s="108" t="n">
        <f aca="false">ROUND((D7+D8)*'6. COST SUMMARY'!C16,2)</f>
        <v>184868.92</v>
      </c>
      <c r="E9" s="109" t="n">
        <f aca="false">D9-C9</f>
        <v>-8733.91999999998</v>
      </c>
    </row>
    <row r="10" customFormat="false" ht="21" hidden="false" customHeight="true" outlineLevel="0" collapsed="false">
      <c r="B10" s="58" t="s">
        <v>1032</v>
      </c>
      <c r="C10" s="107" t="n">
        <f aca="false">ROUND((C7+C8+C9)*'6. COST SUMMARY'!C18,2)</f>
        <v>63888.94</v>
      </c>
      <c r="D10" s="108" t="n">
        <f aca="false">ROUND((D7+D8+D9)*'6. COST SUMMARY'!C18,2)</f>
        <v>61006.74</v>
      </c>
      <c r="E10" s="109" t="n">
        <f aca="false">D10-C10</f>
        <v>-2882.2</v>
      </c>
    </row>
    <row r="11" customFormat="false" ht="21" hidden="false" customHeight="true" outlineLevel="0" collapsed="false">
      <c r="B11" s="54" t="s">
        <v>1033</v>
      </c>
      <c r="C11" s="110" t="n">
        <f aca="false">C7+C8+C9+C10</f>
        <v>2193520.15</v>
      </c>
      <c r="D11" s="111" t="n">
        <f aca="false">D7+D8+D9+D10</f>
        <v>2094564.86</v>
      </c>
      <c r="E11" s="112" t="n">
        <f aca="false">D11-C11</f>
        <v>-98955.29</v>
      </c>
    </row>
    <row r="12" customFormat="false" ht="21" hidden="false" customHeight="true" outlineLevel="0" collapsed="false">
      <c r="B12" s="58" t="s">
        <v>1034</v>
      </c>
      <c r="C12" s="107" t="n">
        <f aca="false">ROUND(C11*'6. COST SUMMARY'!C20,2)</f>
        <v>175481.61</v>
      </c>
      <c r="D12" s="108" t="n">
        <f aca="false">ROUND(D11*'6. COST SUMMARY'!C20,2)</f>
        <v>167565.19</v>
      </c>
      <c r="E12" s="109" t="n">
        <f aca="false">D12-C12</f>
        <v>-7916.41999999998</v>
      </c>
    </row>
    <row r="13" customFormat="false" ht="25.5" hidden="false" customHeight="true" outlineLevel="0" collapsed="false">
      <c r="B13" s="68" t="s">
        <v>1035</v>
      </c>
      <c r="C13" s="113" t="n">
        <f aca="false">C11+C12</f>
        <v>2369001.76</v>
      </c>
      <c r="D13" s="113" t="n">
        <f aca="false">D11+D12</f>
        <v>2262130.05</v>
      </c>
      <c r="E13" s="113" t="n">
        <f aca="false">D13-C13</f>
        <v>-106871.71</v>
      </c>
    </row>
    <row r="14" customFormat="false" ht="21" hidden="false" customHeight="true" outlineLevel="0" collapsed="false">
      <c r="B14" s="58" t="s">
        <v>1036</v>
      </c>
      <c r="C14" s="114" t="n">
        <v>0</v>
      </c>
      <c r="D14" s="115" t="n">
        <f aca="false">-E13/C13</f>
        <v>0.0451125498530655</v>
      </c>
      <c r="E14" s="116" t="n">
        <f aca="false">D14</f>
        <v>0.0451125498530655</v>
      </c>
    </row>
    <row r="15" customFormat="false" ht="21" hidden="false" customHeight="true" outlineLevel="0" collapsed="false">
      <c r="B15" s="58" t="s">
        <v>1037</v>
      </c>
      <c r="C15" s="117" t="n">
        <v>24</v>
      </c>
      <c r="D15" s="118" t="n">
        <v>20</v>
      </c>
      <c r="E15" s="119" t="n">
        <v>-4</v>
      </c>
    </row>
    <row r="16" customFormat="false" ht="21" hidden="false" customHeight="true" outlineLevel="0" collapsed="false">
      <c r="B16" s="58" t="s">
        <v>1038</v>
      </c>
      <c r="C16" s="107" t="n">
        <v>0</v>
      </c>
      <c r="D16" s="108" t="n">
        <f aca="false">'9. VALUE ENGINEERING'!E23</f>
        <v>17200</v>
      </c>
      <c r="E16" s="109" t="n">
        <f aca="false">D16</f>
        <v>17200</v>
      </c>
    </row>
    <row r="18" customFormat="false" ht="15" hidden="false" customHeight="false" outlineLevel="0" collapsed="false">
      <c r="B18" s="28" t="s">
        <v>1039</v>
      </c>
      <c r="C18" s="28"/>
      <c r="D18" s="28"/>
      <c r="E18" s="28"/>
    </row>
    <row r="19" customFormat="false" ht="25.5" hidden="false" customHeight="true" outlineLevel="0" collapsed="false">
      <c r="B19" s="12" t="s">
        <v>1040</v>
      </c>
      <c r="C19" s="12"/>
      <c r="D19" s="12"/>
      <c r="E19" s="12"/>
    </row>
    <row r="20" customFormat="false" ht="25.5" hidden="false" customHeight="true" outlineLevel="0" collapsed="false">
      <c r="B20" s="12" t="s">
        <v>1041</v>
      </c>
      <c r="C20" s="12"/>
      <c r="D20" s="12"/>
      <c r="E20" s="12"/>
    </row>
    <row r="21" customFormat="false" ht="25.5" hidden="false" customHeight="true" outlineLevel="0" collapsed="false">
      <c r="B21" s="12" t="s">
        <v>1042</v>
      </c>
      <c r="C21" s="12"/>
      <c r="D21" s="12"/>
      <c r="E21" s="12"/>
    </row>
    <row r="22" customFormat="false" ht="25.5" hidden="false" customHeight="true" outlineLevel="0" collapsed="false">
      <c r="B22" s="12" t="s">
        <v>1043</v>
      </c>
      <c r="C22" s="12"/>
      <c r="D22" s="12"/>
      <c r="E22" s="12"/>
    </row>
    <row r="23" customFormat="false" ht="25.5" hidden="false" customHeight="true" outlineLevel="0" collapsed="false">
      <c r="B23" s="12" t="s">
        <v>1044</v>
      </c>
      <c r="C23" s="12"/>
      <c r="D23" s="12"/>
      <c r="E23" s="12"/>
    </row>
    <row r="24" customFormat="false" ht="25.5" hidden="false" customHeight="true" outlineLevel="0" collapsed="false">
      <c r="B24" s="12" t="s">
        <v>1045</v>
      </c>
      <c r="C24" s="12"/>
      <c r="D24" s="12"/>
      <c r="E24" s="12"/>
    </row>
  </sheetData>
  <mergeCells count="10">
    <mergeCell ref="A1:F1"/>
    <mergeCell ref="A2:F2"/>
    <mergeCell ref="B4:E4"/>
    <mergeCell ref="B18:E18"/>
    <mergeCell ref="B19:E19"/>
    <mergeCell ref="B20:E20"/>
    <mergeCell ref="B21:E21"/>
    <mergeCell ref="B22:E22"/>
    <mergeCell ref="B23:E23"/>
    <mergeCell ref="B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42"/>
    <col collapsed="false" customWidth="true" hidden="false" outlineLevel="0" max="6" min="4" style="0" width="22"/>
    <col collapsed="false" customWidth="true" hidden="false" outlineLevel="0" max="7" min="7" style="0" width="3"/>
  </cols>
  <sheetData>
    <row r="1" customFormat="false" ht="25.5" hidden="false" customHeight="true" outlineLevel="0" collapsed="false">
      <c r="A1" s="10" t="s">
        <v>26</v>
      </c>
      <c r="B1" s="10"/>
      <c r="C1" s="10"/>
      <c r="D1" s="10"/>
      <c r="E1" s="10"/>
      <c r="F1" s="10"/>
      <c r="G1" s="10"/>
    </row>
    <row r="2" customFormat="false" ht="19.5" hidden="false" customHeight="true" outlineLevel="0" collapsed="false">
      <c r="A2" s="11" t="s">
        <v>1046</v>
      </c>
      <c r="B2" s="11"/>
      <c r="C2" s="11"/>
      <c r="D2" s="11"/>
      <c r="E2" s="11"/>
      <c r="F2" s="11"/>
      <c r="G2" s="11"/>
    </row>
    <row r="4" customFormat="false" ht="15" hidden="false" customHeight="true" outlineLevel="0" collapsed="false">
      <c r="B4" s="27" t="s">
        <v>1047</v>
      </c>
      <c r="C4" s="27"/>
      <c r="D4" s="27"/>
      <c r="E4" s="27"/>
      <c r="F4" s="27"/>
    </row>
    <row r="6" customFormat="false" ht="30" hidden="false" customHeight="true" outlineLevel="0" collapsed="false">
      <c r="B6" s="33" t="s">
        <v>1048</v>
      </c>
      <c r="C6" s="33" t="s">
        <v>1049</v>
      </c>
      <c r="D6" s="33" t="s">
        <v>1050</v>
      </c>
      <c r="E6" s="33" t="s">
        <v>1051</v>
      </c>
      <c r="F6" s="33" t="s">
        <v>1052</v>
      </c>
    </row>
    <row r="7" customFormat="false" ht="15" hidden="false" customHeight="false" outlineLevel="0" collapsed="false">
      <c r="B7" s="120" t="n">
        <v>1</v>
      </c>
      <c r="C7" s="16" t="s">
        <v>1053</v>
      </c>
      <c r="D7" s="52" t="n">
        <f aca="false">SUMPRODUCT('5. BOQ DETAIL'!$D$7:$D$28,'5. BOQ DETAIL'!$F$7:$F$28)</f>
        <v>266800</v>
      </c>
      <c r="E7" s="52" t="n">
        <f aca="false">SUMPRODUCT('5. BOQ DETAIL'!$D$7:$D$28,'5. BOQ DETAIL'!$E$7:$E$28)</f>
        <v>0</v>
      </c>
      <c r="F7" s="39" t="n">
        <f aca="false">D7+E7</f>
        <v>266800</v>
      </c>
    </row>
    <row r="8" customFormat="false" ht="15" hidden="false" customHeight="false" outlineLevel="0" collapsed="false">
      <c r="B8" s="120" t="n">
        <v>2</v>
      </c>
      <c r="C8" s="16" t="s">
        <v>1054</v>
      </c>
      <c r="D8" s="52" t="n">
        <f aca="false">SUMPRODUCT('5. BOQ DETAIL'!$D$32:$D$62,'5. BOQ DETAIL'!$F$32:$F$62)</f>
        <v>198570.56602</v>
      </c>
      <c r="E8" s="52" t="n">
        <f aca="false">SUMPRODUCT('5. BOQ DETAIL'!$D$32:$D$62,'5. BOQ DETAIL'!$E$32:$E$62)</f>
        <v>408216.2105</v>
      </c>
      <c r="F8" s="39" t="n">
        <f aca="false">D8+E8</f>
        <v>606786.77652</v>
      </c>
    </row>
    <row r="9" customFormat="false" ht="15" hidden="false" customHeight="false" outlineLevel="0" collapsed="false">
      <c r="B9" s="120" t="n">
        <v>3</v>
      </c>
      <c r="C9" s="16" t="s">
        <v>1055</v>
      </c>
      <c r="D9" s="52" t="n">
        <f aca="false">SUMPRODUCT('5. BOQ DETAIL'!$D$66:$D$176,'5. BOQ DETAIL'!$F$66:$F$176)</f>
        <v>121764.52462</v>
      </c>
      <c r="E9" s="52" t="n">
        <f aca="false">SUMPRODUCT('5. BOQ DETAIL'!$D$66:$D$176,'5. BOQ DETAIL'!$E$66:$E$176)</f>
        <v>243602.46674</v>
      </c>
      <c r="F9" s="39" t="n">
        <f aca="false">D9+E9</f>
        <v>365366.99136</v>
      </c>
    </row>
    <row r="10" customFormat="false" ht="15" hidden="false" customHeight="false" outlineLevel="0" collapsed="false">
      <c r="B10" s="120" t="n">
        <v>4</v>
      </c>
      <c r="C10" s="16" t="s">
        <v>1056</v>
      </c>
      <c r="D10" s="52" t="n">
        <f aca="false">SUMPRODUCT('5. BOQ DETAIL'!$D$246:$D$280,'5. BOQ DETAIL'!$F$246:$F$280)</f>
        <v>26629.0370468</v>
      </c>
      <c r="E10" s="52" t="n">
        <f aca="false">SUMPRODUCT('5. BOQ DETAIL'!$D$246:$D$280,'5. BOQ DETAIL'!$E$246:$E$280)</f>
        <v>35623.9579344</v>
      </c>
      <c r="F10" s="39" t="n">
        <f aca="false">D10+E10</f>
        <v>62252.9949812</v>
      </c>
    </row>
    <row r="11" customFormat="false" ht="15" hidden="false" customHeight="false" outlineLevel="0" collapsed="false">
      <c r="B11" s="120" t="n">
        <v>5</v>
      </c>
      <c r="C11" s="16" t="s">
        <v>1057</v>
      </c>
      <c r="D11" s="52" t="n">
        <f aca="false">SUMPRODUCT('5. BOQ DETAIL'!$D$284:$D$334,'5. BOQ DETAIL'!$F$284:$F$334)</f>
        <v>74581.98758</v>
      </c>
      <c r="E11" s="52" t="n">
        <f aca="false">SUMPRODUCT('5. BOQ DETAIL'!$D$284:$D$334,'5. BOQ DETAIL'!$E$284:$E$334)</f>
        <v>76146.25836</v>
      </c>
      <c r="F11" s="39" t="n">
        <f aca="false">D11+E11</f>
        <v>150728.24594</v>
      </c>
    </row>
    <row r="12" customFormat="false" ht="15" hidden="false" customHeight="false" outlineLevel="0" collapsed="false">
      <c r="B12" s="120" t="n">
        <v>6</v>
      </c>
      <c r="C12" s="16" t="s">
        <v>1058</v>
      </c>
      <c r="D12" s="52" t="n">
        <f aca="false">SUMPRODUCT('5. BOQ DETAIL'!$D$180:$D$242,'5. BOQ DETAIL'!$F$180:$F$242)</f>
        <v>112676.9145</v>
      </c>
      <c r="E12" s="52" t="n">
        <f aca="false">SUMPRODUCT('5. BOQ DETAIL'!$D$180:$D$242,'5. BOQ DETAIL'!$E$180:$E$242)</f>
        <v>162701.8725</v>
      </c>
      <c r="F12" s="39" t="n">
        <f aca="false">D12+E12</f>
        <v>275378.787</v>
      </c>
    </row>
    <row r="13" customFormat="false" ht="15" hidden="false" customHeight="false" outlineLevel="0" collapsed="false">
      <c r="B13" s="120" t="n">
        <v>7</v>
      </c>
      <c r="C13" s="16" t="s">
        <v>1059</v>
      </c>
      <c r="D13" s="52" t="n">
        <f aca="false">SUMPRODUCT('5. BOQ DETAIL'!$D$338:$D$357,'5. BOQ DETAIL'!$F$338:$F$357)</f>
        <v>17064.5095</v>
      </c>
      <c r="E13" s="52" t="n">
        <f aca="false">SUMPRODUCT('5. BOQ DETAIL'!$D$338:$D$357,'5. BOQ DETAIL'!$E$338:$E$357)</f>
        <v>17923.479</v>
      </c>
      <c r="F13" s="39" t="n">
        <f aca="false">D13+E13</f>
        <v>34987.9885</v>
      </c>
    </row>
    <row r="14" customFormat="false" ht="15" hidden="false" customHeight="false" outlineLevel="0" collapsed="false">
      <c r="B14" s="120" t="n">
        <v>8</v>
      </c>
      <c r="C14" s="16" t="s">
        <v>1060</v>
      </c>
      <c r="D14" s="52" t="n">
        <f aca="false">SUMPRODUCT('5. BOQ DETAIL'!$D$361:$D$368,'5. BOQ DETAIL'!$F$361:$F$368)</f>
        <v>11026.9429725</v>
      </c>
      <c r="E14" s="52" t="n">
        <f aca="false">SUMPRODUCT('5. BOQ DETAIL'!$D$361:$D$368,'5. BOQ DETAIL'!$E$361:$E$368)</f>
        <v>19290.147245</v>
      </c>
      <c r="F14" s="39" t="n">
        <f aca="false">D14+E14</f>
        <v>30317.0902175</v>
      </c>
    </row>
    <row r="15" customFormat="false" ht="28.35" hidden="false" customHeight="false" outlineLevel="0" collapsed="false">
      <c r="B15" s="120" t="n">
        <v>9</v>
      </c>
      <c r="C15" s="16" t="s">
        <v>1061</v>
      </c>
      <c r="D15" s="121" t="n">
        <v>0</v>
      </c>
      <c r="E15" s="121" t="n">
        <v>0</v>
      </c>
      <c r="F15" s="122" t="s">
        <v>1062</v>
      </c>
    </row>
    <row r="16" customFormat="false" ht="19.4" hidden="false" customHeight="false" outlineLevel="0" collapsed="false">
      <c r="B16" s="120" t="n">
        <v>10</v>
      </c>
      <c r="C16" s="16" t="s">
        <v>1063</v>
      </c>
      <c r="D16" s="121" t="n">
        <v>0</v>
      </c>
      <c r="E16" s="121" t="n">
        <v>0</v>
      </c>
      <c r="F16" s="122" t="s">
        <v>1064</v>
      </c>
    </row>
    <row r="17" customFormat="false" ht="15" hidden="false" customHeight="false" outlineLevel="0" collapsed="false">
      <c r="B17" s="120" t="n">
        <v>11</v>
      </c>
      <c r="C17" s="16" t="s">
        <v>1065</v>
      </c>
      <c r="D17" s="52" t="n">
        <f aca="false">'6. COST SUMMARY'!D14+'6. COST SUMMARY'!D16+'6. COST SUMMARY'!D18</f>
        <v>400901.29</v>
      </c>
      <c r="E17" s="38" t="n">
        <v>0</v>
      </c>
      <c r="F17" s="39" t="n">
        <f aca="false">D17+E17</f>
        <v>400901.29</v>
      </c>
    </row>
    <row r="18" customFormat="false" ht="15" hidden="false" customHeight="false" outlineLevel="0" collapsed="false">
      <c r="B18" s="123" t="n">
        <v>12</v>
      </c>
      <c r="C18" s="5" t="s">
        <v>1066</v>
      </c>
      <c r="D18" s="124" t="n">
        <f aca="false">SUM(D7:D17)</f>
        <v>1230015.7722393</v>
      </c>
      <c r="E18" s="124" t="n">
        <f aca="false">SUM(E7:E17)</f>
        <v>963504.3922794</v>
      </c>
      <c r="F18" s="124" t="n">
        <f aca="false">D18+E18</f>
        <v>2193520.1645187</v>
      </c>
    </row>
    <row r="19" customFormat="false" ht="15" hidden="false" customHeight="false" outlineLevel="0" collapsed="false">
      <c r="B19" s="125" t="n">
        <v>13</v>
      </c>
      <c r="C19" s="126" t="s">
        <v>1034</v>
      </c>
      <c r="D19" s="58"/>
      <c r="E19" s="58"/>
      <c r="F19" s="127" t="n">
        <f aca="false">ROUND(F18*'6. COST SUMMARY'!C20,2)</f>
        <v>175481.61</v>
      </c>
    </row>
    <row r="20" customFormat="false" ht="16.15" hidden="false" customHeight="false" outlineLevel="0" collapsed="false">
      <c r="B20" s="48" t="n">
        <v>14</v>
      </c>
      <c r="C20" s="68" t="s">
        <v>1067</v>
      </c>
      <c r="D20" s="94"/>
      <c r="E20" s="94"/>
      <c r="F20" s="128" t="n">
        <f aca="false">F18+F19</f>
        <v>2369001.7745187</v>
      </c>
    </row>
    <row r="22" customFormat="false" ht="15" hidden="false" customHeight="true" outlineLevel="0" collapsed="false">
      <c r="B22" s="97" t="s">
        <v>1068</v>
      </c>
      <c r="C22" s="97"/>
      <c r="D22" s="97"/>
      <c r="E22" s="97"/>
      <c r="F22" s="97"/>
    </row>
    <row r="23" customFormat="false" ht="15" hidden="false" customHeight="false" outlineLevel="0" collapsed="false">
      <c r="B23" s="97"/>
      <c r="C23" s="97"/>
      <c r="D23" s="97"/>
      <c r="E23" s="97"/>
      <c r="F23" s="97"/>
    </row>
  </sheetData>
  <mergeCells count="4">
    <mergeCell ref="A1:G1"/>
    <mergeCell ref="A2:G2"/>
    <mergeCell ref="B4:F4"/>
    <mergeCell ref="B22: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2026-09-10T23:36:53Z</dcterms:created>
  <dc:creator>openpyxl</dc:creator>
  <dc:description/>
  <dc:language>en-US</dc:language>
  <cp:lastModifiedBy/>
  <dcterms:modified xsi:type="dcterms:W3CDTF">2026-09-10T23:36:53Z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