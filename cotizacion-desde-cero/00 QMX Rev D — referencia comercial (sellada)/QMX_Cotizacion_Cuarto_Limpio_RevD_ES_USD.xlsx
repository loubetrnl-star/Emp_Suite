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Desktop\lQMX\"/>
    </mc:Choice>
  </mc:AlternateContent>
  <xr:revisionPtr revIDLastSave="0" documentId="13_ncr:1_{DF0EFDEC-3E5E-45F5-990A-B42774B517FF}" xr6:coauthVersionLast="47" xr6:coauthVersionMax="47" xr10:uidLastSave="{00000000-0000-0000-0000-000000000000}"/>
  <bookViews>
    <workbookView xWindow="-110" yWindow="-110" windowWidth="25820" windowHeight="13900" tabRatio="500" xr2:uid="{00000000-000D-0000-FFFF-FFFF00000000}"/>
  </bookViews>
  <sheets>
    <sheet name="1. PORTADA" sheetId="1" r:id="rId1"/>
    <sheet name="2. RESUMEN EJECUTIVO" sheetId="2" r:id="rId2"/>
    <sheet name="3. ALCANCE DEL TRABAJO" sheetId="3" r:id="rId3"/>
    <sheet name="4. EXCLUSIONES Y SUPUESTOS" sheetId="4" r:id="rId4"/>
    <sheet name="5. DESGLOSE PARTIDAS" sheetId="5" r:id="rId5"/>
    <sheet name="6. RESUMEN DE COSTOS" sheetId="6" r:id="rId6"/>
    <sheet name="7. CONDICIONES COMERCIALES" sheetId="7" r:id="rId7"/>
    <sheet name="8. PROGRAMA GANTT" sheetId="8" r:id="rId8"/>
    <sheet name="9. INGENIERIA DE VALOR" sheetId="9" r:id="rId9"/>
    <sheet name="10. BASE VS OPTIMIZADO" sheetId="10" r:id="rId10"/>
    <sheet name="11. FORMATO BOQ CLIENTE"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14" i="11" l="1"/>
  <c r="D14" i="11"/>
  <c r="F14" i="11" s="1"/>
  <c r="F13" i="11"/>
  <c r="E13" i="11"/>
  <c r="D13" i="11"/>
  <c r="F12" i="11"/>
  <c r="E12" i="11"/>
  <c r="D12" i="11"/>
  <c r="E11" i="11"/>
  <c r="D11" i="11"/>
  <c r="F11" i="11" s="1"/>
  <c r="E10" i="11"/>
  <c r="D10" i="11"/>
  <c r="F10" i="11" s="1"/>
  <c r="E9" i="11"/>
  <c r="D9" i="11"/>
  <c r="F9" i="11" s="1"/>
  <c r="E8" i="11"/>
  <c r="F8" i="11" s="1"/>
  <c r="D8" i="11"/>
  <c r="E7" i="11"/>
  <c r="D7" i="11"/>
  <c r="E23" i="9"/>
  <c r="D16" i="10" s="1"/>
  <c r="E16" i="10" s="1"/>
  <c r="D23" i="9"/>
  <c r="E16" i="9"/>
  <c r="C35" i="2" s="1"/>
  <c r="C11" i="7"/>
  <c r="D25" i="6"/>
  <c r="D24" i="6"/>
  <c r="G368" i="5"/>
  <c r="H368" i="5" s="1"/>
  <c r="G367" i="5"/>
  <c r="H367" i="5" s="1"/>
  <c r="G366" i="5"/>
  <c r="H366" i="5" s="1"/>
  <c r="H365" i="5"/>
  <c r="G365" i="5"/>
  <c r="G364" i="5"/>
  <c r="H364" i="5" s="1"/>
  <c r="G363" i="5"/>
  <c r="H363" i="5" s="1"/>
  <c r="H362" i="5"/>
  <c r="G362" i="5"/>
  <c r="H361" i="5"/>
  <c r="G361" i="5"/>
  <c r="G357" i="5"/>
  <c r="H357" i="5" s="1"/>
  <c r="H356" i="5"/>
  <c r="G356" i="5"/>
  <c r="G355" i="5"/>
  <c r="H355" i="5" s="1"/>
  <c r="G354" i="5"/>
  <c r="H354" i="5" s="1"/>
  <c r="H353" i="5"/>
  <c r="G353" i="5"/>
  <c r="G352" i="5"/>
  <c r="H352" i="5" s="1"/>
  <c r="G351" i="5"/>
  <c r="H351" i="5" s="1"/>
  <c r="G350" i="5"/>
  <c r="H350" i="5" s="1"/>
  <c r="G349" i="5"/>
  <c r="H349" i="5" s="1"/>
  <c r="H348" i="5"/>
  <c r="G348" i="5"/>
  <c r="G347" i="5"/>
  <c r="H347" i="5" s="1"/>
  <c r="G346" i="5"/>
  <c r="H346" i="5" s="1"/>
  <c r="H345" i="5"/>
  <c r="G345" i="5"/>
  <c r="G344" i="5"/>
  <c r="H344" i="5" s="1"/>
  <c r="G343" i="5"/>
  <c r="H343" i="5" s="1"/>
  <c r="G342" i="5"/>
  <c r="H342" i="5" s="1"/>
  <c r="G341" i="5"/>
  <c r="H341" i="5" s="1"/>
  <c r="H340" i="5"/>
  <c r="G340" i="5"/>
  <c r="G339" i="5"/>
  <c r="H339" i="5" s="1"/>
  <c r="G338" i="5"/>
  <c r="H338" i="5" s="1"/>
  <c r="G334" i="5"/>
  <c r="H334" i="5" s="1"/>
  <c r="H333" i="5"/>
  <c r="G333" i="5"/>
  <c r="H332" i="5"/>
  <c r="G332" i="5"/>
  <c r="G331" i="5"/>
  <c r="H331" i="5" s="1"/>
  <c r="G330" i="5"/>
  <c r="H330" i="5" s="1"/>
  <c r="G329" i="5"/>
  <c r="H329" i="5" s="1"/>
  <c r="H328" i="5"/>
  <c r="G328" i="5"/>
  <c r="G327" i="5"/>
  <c r="H327" i="5" s="1"/>
  <c r="G326" i="5"/>
  <c r="H326" i="5" s="1"/>
  <c r="H325" i="5"/>
  <c r="G325" i="5"/>
  <c r="H324" i="5"/>
  <c r="G324" i="5"/>
  <c r="G323" i="5"/>
  <c r="H323" i="5" s="1"/>
  <c r="G322" i="5"/>
  <c r="H322" i="5" s="1"/>
  <c r="G321" i="5"/>
  <c r="H321" i="5" s="1"/>
  <c r="H320" i="5"/>
  <c r="G320" i="5"/>
  <c r="G319" i="5"/>
  <c r="H319" i="5" s="1"/>
  <c r="G318" i="5"/>
  <c r="H318" i="5" s="1"/>
  <c r="H317" i="5"/>
  <c r="G317" i="5"/>
  <c r="H316" i="5"/>
  <c r="G316" i="5"/>
  <c r="G315" i="5"/>
  <c r="H315" i="5" s="1"/>
  <c r="G314" i="5"/>
  <c r="H314" i="5" s="1"/>
  <c r="G313" i="5"/>
  <c r="H313" i="5" s="1"/>
  <c r="H312" i="5"/>
  <c r="G312" i="5"/>
  <c r="G311" i="5"/>
  <c r="H311" i="5" s="1"/>
  <c r="G310" i="5"/>
  <c r="H310" i="5" s="1"/>
  <c r="H309" i="5"/>
  <c r="G309" i="5"/>
  <c r="H308" i="5"/>
  <c r="G308" i="5"/>
  <c r="G307" i="5"/>
  <c r="H307" i="5" s="1"/>
  <c r="G306" i="5"/>
  <c r="H306" i="5" s="1"/>
  <c r="G305" i="5"/>
  <c r="H305" i="5" s="1"/>
  <c r="H304" i="5"/>
  <c r="G304" i="5"/>
  <c r="G303" i="5"/>
  <c r="H303" i="5" s="1"/>
  <c r="G302" i="5"/>
  <c r="H302" i="5" s="1"/>
  <c r="H301" i="5"/>
  <c r="G301" i="5"/>
  <c r="H300" i="5"/>
  <c r="G300" i="5"/>
  <c r="G299" i="5"/>
  <c r="H299" i="5" s="1"/>
  <c r="G298" i="5"/>
  <c r="H298" i="5" s="1"/>
  <c r="G297" i="5"/>
  <c r="H297" i="5" s="1"/>
  <c r="H296" i="5"/>
  <c r="G296" i="5"/>
  <c r="G295" i="5"/>
  <c r="H295" i="5" s="1"/>
  <c r="G294" i="5"/>
  <c r="H294" i="5" s="1"/>
  <c r="H293" i="5"/>
  <c r="G293" i="5"/>
  <c r="H292" i="5"/>
  <c r="G292" i="5"/>
  <c r="G291" i="5"/>
  <c r="H291" i="5" s="1"/>
  <c r="G290" i="5"/>
  <c r="H290" i="5" s="1"/>
  <c r="G289" i="5"/>
  <c r="H289" i="5" s="1"/>
  <c r="H288" i="5"/>
  <c r="G288" i="5"/>
  <c r="G287" i="5"/>
  <c r="H287" i="5" s="1"/>
  <c r="G286" i="5"/>
  <c r="H286" i="5" s="1"/>
  <c r="H285" i="5"/>
  <c r="G285" i="5"/>
  <c r="H284" i="5"/>
  <c r="G284" i="5"/>
  <c r="G280" i="5"/>
  <c r="H280" i="5" s="1"/>
  <c r="H279" i="5"/>
  <c r="G279" i="5"/>
  <c r="G278" i="5"/>
  <c r="H278" i="5" s="1"/>
  <c r="G277" i="5"/>
  <c r="H277" i="5" s="1"/>
  <c r="H276" i="5"/>
  <c r="G276" i="5"/>
  <c r="G275" i="5"/>
  <c r="H275" i="5" s="1"/>
  <c r="G274" i="5"/>
  <c r="H274" i="5" s="1"/>
  <c r="G273" i="5"/>
  <c r="H273" i="5" s="1"/>
  <c r="G272" i="5"/>
  <c r="H272" i="5" s="1"/>
  <c r="H271" i="5"/>
  <c r="G271" i="5"/>
  <c r="G270" i="5"/>
  <c r="H270" i="5" s="1"/>
  <c r="G269" i="5"/>
  <c r="H269" i="5" s="1"/>
  <c r="H268" i="5"/>
  <c r="G268" i="5"/>
  <c r="G267" i="5"/>
  <c r="H267" i="5" s="1"/>
  <c r="G266" i="5"/>
  <c r="H266" i="5" s="1"/>
  <c r="G265" i="5"/>
  <c r="H265" i="5" s="1"/>
  <c r="G264" i="5"/>
  <c r="H264" i="5" s="1"/>
  <c r="H263" i="5"/>
  <c r="G263" i="5"/>
  <c r="G262" i="5"/>
  <c r="H262" i="5" s="1"/>
  <c r="G261" i="5"/>
  <c r="H261" i="5" s="1"/>
  <c r="H260" i="5"/>
  <c r="G260" i="5"/>
  <c r="G259" i="5"/>
  <c r="H259" i="5" s="1"/>
  <c r="G258" i="5"/>
  <c r="H258" i="5" s="1"/>
  <c r="G257" i="5"/>
  <c r="H257" i="5" s="1"/>
  <c r="G256" i="5"/>
  <c r="H256" i="5" s="1"/>
  <c r="H255" i="5"/>
  <c r="G255" i="5"/>
  <c r="G254" i="5"/>
  <c r="H254" i="5" s="1"/>
  <c r="G253" i="5"/>
  <c r="H253" i="5" s="1"/>
  <c r="H252" i="5"/>
  <c r="G252" i="5"/>
  <c r="G251" i="5"/>
  <c r="H251" i="5" s="1"/>
  <c r="G250" i="5"/>
  <c r="H250" i="5" s="1"/>
  <c r="G249" i="5"/>
  <c r="H249" i="5" s="1"/>
  <c r="G248" i="5"/>
  <c r="H248" i="5" s="1"/>
  <c r="H247" i="5"/>
  <c r="G247" i="5"/>
  <c r="G246" i="5"/>
  <c r="H246" i="5" s="1"/>
  <c r="G242" i="5"/>
  <c r="H242" i="5" s="1"/>
  <c r="G241" i="5"/>
  <c r="H241" i="5" s="1"/>
  <c r="H240" i="5"/>
  <c r="G240" i="5"/>
  <c r="H239" i="5"/>
  <c r="G239" i="5"/>
  <c r="G238" i="5"/>
  <c r="H238" i="5" s="1"/>
  <c r="G237" i="5"/>
  <c r="H237" i="5" s="1"/>
  <c r="G236" i="5"/>
  <c r="H236" i="5" s="1"/>
  <c r="H235" i="5"/>
  <c r="G235" i="5"/>
  <c r="G234" i="5"/>
  <c r="H234" i="5" s="1"/>
  <c r="G233" i="5"/>
  <c r="H233" i="5" s="1"/>
  <c r="H232" i="5"/>
  <c r="G232" i="5"/>
  <c r="H231" i="5"/>
  <c r="G231" i="5"/>
  <c r="G230" i="5"/>
  <c r="H230" i="5" s="1"/>
  <c r="G229" i="5"/>
  <c r="H229" i="5" s="1"/>
  <c r="G228" i="5"/>
  <c r="H228" i="5" s="1"/>
  <c r="H227" i="5"/>
  <c r="G227" i="5"/>
  <c r="G226" i="5"/>
  <c r="H226" i="5" s="1"/>
  <c r="G225" i="5"/>
  <c r="H225" i="5" s="1"/>
  <c r="H224" i="5"/>
  <c r="G224" i="5"/>
  <c r="H223" i="5"/>
  <c r="G223" i="5"/>
  <c r="G222" i="5"/>
  <c r="H222" i="5" s="1"/>
  <c r="G221" i="5"/>
  <c r="H221" i="5" s="1"/>
  <c r="G220" i="5"/>
  <c r="H220" i="5" s="1"/>
  <c r="H219" i="5"/>
  <c r="G219" i="5"/>
  <c r="G218" i="5"/>
  <c r="H218" i="5" s="1"/>
  <c r="G217" i="5"/>
  <c r="H217" i="5" s="1"/>
  <c r="H216" i="5"/>
  <c r="G216" i="5"/>
  <c r="H215" i="5"/>
  <c r="G215" i="5"/>
  <c r="G214" i="5"/>
  <c r="H214" i="5" s="1"/>
  <c r="G213" i="5"/>
  <c r="H213" i="5" s="1"/>
  <c r="G212" i="5"/>
  <c r="H212" i="5" s="1"/>
  <c r="H211" i="5"/>
  <c r="G211" i="5"/>
  <c r="G210" i="5"/>
  <c r="H210" i="5" s="1"/>
  <c r="G209" i="5"/>
  <c r="H209" i="5" s="1"/>
  <c r="H208" i="5"/>
  <c r="G208" i="5"/>
  <c r="H207" i="5"/>
  <c r="G207" i="5"/>
  <c r="G206" i="5"/>
  <c r="H206" i="5" s="1"/>
  <c r="G205" i="5"/>
  <c r="H205" i="5" s="1"/>
  <c r="G204" i="5"/>
  <c r="H204" i="5" s="1"/>
  <c r="H203" i="5"/>
  <c r="G203" i="5"/>
  <c r="G202" i="5"/>
  <c r="H202" i="5" s="1"/>
  <c r="G201" i="5"/>
  <c r="H201" i="5" s="1"/>
  <c r="H200" i="5"/>
  <c r="G200" i="5"/>
  <c r="H199" i="5"/>
  <c r="G199" i="5"/>
  <c r="G198" i="5"/>
  <c r="H198" i="5" s="1"/>
  <c r="G197" i="5"/>
  <c r="H197" i="5" s="1"/>
  <c r="G196" i="5"/>
  <c r="H196" i="5" s="1"/>
  <c r="H195" i="5"/>
  <c r="G195" i="5"/>
  <c r="G194" i="5"/>
  <c r="H194" i="5" s="1"/>
  <c r="G193" i="5"/>
  <c r="H193" i="5" s="1"/>
  <c r="H192" i="5"/>
  <c r="G192" i="5"/>
  <c r="H191" i="5"/>
  <c r="G191" i="5"/>
  <c r="G190" i="5"/>
  <c r="H190" i="5" s="1"/>
  <c r="G189" i="5"/>
  <c r="H189" i="5" s="1"/>
  <c r="G188" i="5"/>
  <c r="H188" i="5" s="1"/>
  <c r="H187" i="5"/>
  <c r="G187" i="5"/>
  <c r="G186" i="5"/>
  <c r="H186" i="5" s="1"/>
  <c r="G185" i="5"/>
  <c r="H185" i="5" s="1"/>
  <c r="H184" i="5"/>
  <c r="G184" i="5"/>
  <c r="H183" i="5"/>
  <c r="G183" i="5"/>
  <c r="G182" i="5"/>
  <c r="H182" i="5" s="1"/>
  <c r="G181" i="5"/>
  <c r="H181" i="5" s="1"/>
  <c r="G180" i="5"/>
  <c r="H180" i="5" s="1"/>
  <c r="G176" i="5"/>
  <c r="H176" i="5" s="1"/>
  <c r="H175" i="5"/>
  <c r="G175" i="5"/>
  <c r="G174" i="5"/>
  <c r="H174" i="5" s="1"/>
  <c r="G173" i="5"/>
  <c r="H173" i="5" s="1"/>
  <c r="G172" i="5"/>
  <c r="H172" i="5" s="1"/>
  <c r="G171" i="5"/>
  <c r="H171" i="5" s="1"/>
  <c r="H170" i="5"/>
  <c r="G170" i="5"/>
  <c r="G169" i="5"/>
  <c r="H169" i="5" s="1"/>
  <c r="G168" i="5"/>
  <c r="H168" i="5" s="1"/>
  <c r="H167" i="5"/>
  <c r="G167" i="5"/>
  <c r="G166" i="5"/>
  <c r="H166" i="5" s="1"/>
  <c r="G165" i="5"/>
  <c r="H165" i="5" s="1"/>
  <c r="G164" i="5"/>
  <c r="H164" i="5" s="1"/>
  <c r="G163" i="5"/>
  <c r="H163" i="5" s="1"/>
  <c r="H162" i="5"/>
  <c r="G162" i="5"/>
  <c r="G161" i="5"/>
  <c r="H161" i="5" s="1"/>
  <c r="G160" i="5"/>
  <c r="H160" i="5" s="1"/>
  <c r="H159" i="5"/>
  <c r="G159" i="5"/>
  <c r="G158" i="5"/>
  <c r="H158" i="5" s="1"/>
  <c r="G157" i="5"/>
  <c r="H157" i="5" s="1"/>
  <c r="G156" i="5"/>
  <c r="H156" i="5" s="1"/>
  <c r="G155" i="5"/>
  <c r="H155" i="5" s="1"/>
  <c r="H154" i="5"/>
  <c r="G154" i="5"/>
  <c r="G153" i="5"/>
  <c r="H153" i="5" s="1"/>
  <c r="G152" i="5"/>
  <c r="H152" i="5" s="1"/>
  <c r="H151" i="5"/>
  <c r="G151" i="5"/>
  <c r="G150" i="5"/>
  <c r="H150" i="5" s="1"/>
  <c r="G149" i="5"/>
  <c r="H149" i="5" s="1"/>
  <c r="G148" i="5"/>
  <c r="H148" i="5" s="1"/>
  <c r="G147" i="5"/>
  <c r="H147" i="5" s="1"/>
  <c r="H146" i="5"/>
  <c r="G146" i="5"/>
  <c r="G145" i="5"/>
  <c r="H145" i="5" s="1"/>
  <c r="G144" i="5"/>
  <c r="H144" i="5" s="1"/>
  <c r="H143" i="5"/>
  <c r="G143" i="5"/>
  <c r="G142" i="5"/>
  <c r="H142" i="5" s="1"/>
  <c r="G141" i="5"/>
  <c r="H141" i="5" s="1"/>
  <c r="G140" i="5"/>
  <c r="H140" i="5" s="1"/>
  <c r="G139" i="5"/>
  <c r="H139" i="5" s="1"/>
  <c r="H138" i="5"/>
  <c r="G138" i="5"/>
  <c r="G137" i="5"/>
  <c r="H137" i="5" s="1"/>
  <c r="G136" i="5"/>
  <c r="H136" i="5" s="1"/>
  <c r="H135" i="5"/>
  <c r="G135" i="5"/>
  <c r="G134" i="5"/>
  <c r="H134" i="5" s="1"/>
  <c r="G133" i="5"/>
  <c r="H133" i="5" s="1"/>
  <c r="G132" i="5"/>
  <c r="H132" i="5" s="1"/>
  <c r="G131" i="5"/>
  <c r="H131" i="5" s="1"/>
  <c r="H130" i="5"/>
  <c r="G130" i="5"/>
  <c r="G129" i="5"/>
  <c r="H129" i="5" s="1"/>
  <c r="G128" i="5"/>
  <c r="H128" i="5" s="1"/>
  <c r="H127" i="5"/>
  <c r="G127" i="5"/>
  <c r="G126" i="5"/>
  <c r="H126" i="5" s="1"/>
  <c r="G125" i="5"/>
  <c r="H125" i="5" s="1"/>
  <c r="G124" i="5"/>
  <c r="H124" i="5" s="1"/>
  <c r="G123" i="5"/>
  <c r="H123" i="5" s="1"/>
  <c r="H122" i="5"/>
  <c r="G122" i="5"/>
  <c r="G121" i="5"/>
  <c r="H121" i="5" s="1"/>
  <c r="G120" i="5"/>
  <c r="H120" i="5" s="1"/>
  <c r="H119" i="5"/>
  <c r="G119" i="5"/>
  <c r="G118" i="5"/>
  <c r="H118" i="5" s="1"/>
  <c r="G117" i="5"/>
  <c r="H117" i="5" s="1"/>
  <c r="G116" i="5"/>
  <c r="H116" i="5" s="1"/>
  <c r="G115" i="5"/>
  <c r="H115" i="5" s="1"/>
  <c r="H114" i="5"/>
  <c r="G114" i="5"/>
  <c r="G113" i="5"/>
  <c r="H113" i="5" s="1"/>
  <c r="G112" i="5"/>
  <c r="H112" i="5" s="1"/>
  <c r="H111" i="5"/>
  <c r="G111" i="5"/>
  <c r="G110" i="5"/>
  <c r="H110" i="5" s="1"/>
  <c r="G109" i="5"/>
  <c r="H109" i="5" s="1"/>
  <c r="G108" i="5"/>
  <c r="H108" i="5" s="1"/>
  <c r="G107" i="5"/>
  <c r="H107" i="5" s="1"/>
  <c r="H106" i="5"/>
  <c r="G106" i="5"/>
  <c r="G105" i="5"/>
  <c r="H105" i="5" s="1"/>
  <c r="G104" i="5"/>
  <c r="H104" i="5" s="1"/>
  <c r="H103" i="5"/>
  <c r="G103" i="5"/>
  <c r="G102" i="5"/>
  <c r="H102" i="5" s="1"/>
  <c r="G101" i="5"/>
  <c r="H101" i="5" s="1"/>
  <c r="G100" i="5"/>
  <c r="H100" i="5" s="1"/>
  <c r="G99" i="5"/>
  <c r="H99" i="5" s="1"/>
  <c r="H98" i="5"/>
  <c r="G98" i="5"/>
  <c r="G97" i="5"/>
  <c r="H97" i="5" s="1"/>
  <c r="G96" i="5"/>
  <c r="H96" i="5" s="1"/>
  <c r="H95" i="5"/>
  <c r="G95" i="5"/>
  <c r="G94" i="5"/>
  <c r="H94" i="5" s="1"/>
  <c r="G93" i="5"/>
  <c r="H93" i="5" s="1"/>
  <c r="G92" i="5"/>
  <c r="H92" i="5" s="1"/>
  <c r="G91" i="5"/>
  <c r="H91" i="5" s="1"/>
  <c r="H90" i="5"/>
  <c r="G90" i="5"/>
  <c r="G89" i="5"/>
  <c r="H89" i="5" s="1"/>
  <c r="G88" i="5"/>
  <c r="H88" i="5" s="1"/>
  <c r="H87" i="5"/>
  <c r="G87" i="5"/>
  <c r="G86" i="5"/>
  <c r="H86" i="5" s="1"/>
  <c r="G85" i="5"/>
  <c r="H85" i="5" s="1"/>
  <c r="G84" i="5"/>
  <c r="H84" i="5" s="1"/>
  <c r="G83" i="5"/>
  <c r="H83" i="5" s="1"/>
  <c r="H82" i="5"/>
  <c r="G82" i="5"/>
  <c r="G81" i="5"/>
  <c r="H81" i="5" s="1"/>
  <c r="G80" i="5"/>
  <c r="H80" i="5" s="1"/>
  <c r="H79" i="5"/>
  <c r="G79" i="5"/>
  <c r="G78" i="5"/>
  <c r="H78" i="5" s="1"/>
  <c r="G77" i="5"/>
  <c r="H77" i="5" s="1"/>
  <c r="G76" i="5"/>
  <c r="H76" i="5" s="1"/>
  <c r="G75" i="5"/>
  <c r="H75" i="5" s="1"/>
  <c r="H74" i="5"/>
  <c r="G74" i="5"/>
  <c r="G73" i="5"/>
  <c r="H73" i="5" s="1"/>
  <c r="G72" i="5"/>
  <c r="H72" i="5" s="1"/>
  <c r="H71" i="5"/>
  <c r="G71" i="5"/>
  <c r="G70" i="5"/>
  <c r="H70" i="5" s="1"/>
  <c r="G69" i="5"/>
  <c r="H69" i="5" s="1"/>
  <c r="G68" i="5"/>
  <c r="H68" i="5" s="1"/>
  <c r="G67" i="5"/>
  <c r="H67" i="5" s="1"/>
  <c r="H66" i="5"/>
  <c r="G66" i="5"/>
  <c r="H62" i="5"/>
  <c r="G62" i="5"/>
  <c r="G61" i="5"/>
  <c r="H61" i="5" s="1"/>
  <c r="G60" i="5"/>
  <c r="H60" i="5" s="1"/>
  <c r="H59" i="5"/>
  <c r="G59" i="5"/>
  <c r="H58" i="5"/>
  <c r="G58" i="5"/>
  <c r="G57" i="5"/>
  <c r="H57" i="5" s="1"/>
  <c r="G56" i="5"/>
  <c r="H56" i="5" s="1"/>
  <c r="G55" i="5"/>
  <c r="H55" i="5" s="1"/>
  <c r="H54" i="5"/>
  <c r="G54" i="5"/>
  <c r="G53" i="5"/>
  <c r="H53" i="5" s="1"/>
  <c r="G52" i="5"/>
  <c r="H52" i="5" s="1"/>
  <c r="H51" i="5"/>
  <c r="G51" i="5"/>
  <c r="H50" i="5"/>
  <c r="G50" i="5"/>
  <c r="G49" i="5"/>
  <c r="H49" i="5" s="1"/>
  <c r="G48" i="5"/>
  <c r="H48" i="5" s="1"/>
  <c r="G47" i="5"/>
  <c r="H47" i="5" s="1"/>
  <c r="H46" i="5"/>
  <c r="G46" i="5"/>
  <c r="G45" i="5"/>
  <c r="H45" i="5" s="1"/>
  <c r="G44" i="5"/>
  <c r="H44" i="5" s="1"/>
  <c r="H43" i="5"/>
  <c r="G43" i="5"/>
  <c r="H42" i="5"/>
  <c r="G42" i="5"/>
  <c r="G41" i="5"/>
  <c r="H41" i="5" s="1"/>
  <c r="H40" i="5"/>
  <c r="G40" i="5"/>
  <c r="G39" i="5"/>
  <c r="H39" i="5" s="1"/>
  <c r="H38" i="5"/>
  <c r="G38" i="5"/>
  <c r="G37" i="5"/>
  <c r="H37" i="5" s="1"/>
  <c r="G36" i="5"/>
  <c r="H36" i="5" s="1"/>
  <c r="H35" i="5"/>
  <c r="G35" i="5"/>
  <c r="H34" i="5"/>
  <c r="G34" i="5"/>
  <c r="G33" i="5"/>
  <c r="H33" i="5" s="1"/>
  <c r="G32" i="5"/>
  <c r="H32" i="5" s="1"/>
  <c r="H63" i="5" s="1"/>
  <c r="G28" i="5"/>
  <c r="H28" i="5" s="1"/>
  <c r="G27" i="5"/>
  <c r="H27" i="5" s="1"/>
  <c r="H26" i="5"/>
  <c r="G26" i="5"/>
  <c r="G25" i="5"/>
  <c r="H25" i="5" s="1"/>
  <c r="G24" i="5"/>
  <c r="H24" i="5" s="1"/>
  <c r="G23" i="5"/>
  <c r="H23" i="5" s="1"/>
  <c r="G22" i="5"/>
  <c r="H22" i="5" s="1"/>
  <c r="H21" i="5"/>
  <c r="G21" i="5"/>
  <c r="G20" i="5"/>
  <c r="H20" i="5" s="1"/>
  <c r="G19" i="5"/>
  <c r="H19" i="5" s="1"/>
  <c r="H18" i="5"/>
  <c r="G18" i="5"/>
  <c r="G17" i="5"/>
  <c r="H17" i="5" s="1"/>
  <c r="G16" i="5"/>
  <c r="H16" i="5" s="1"/>
  <c r="G15" i="5"/>
  <c r="H15" i="5" s="1"/>
  <c r="H14" i="5"/>
  <c r="G14" i="5"/>
  <c r="H13" i="5"/>
  <c r="G13" i="5"/>
  <c r="G12" i="5"/>
  <c r="H12" i="5" s="1"/>
  <c r="G11" i="5"/>
  <c r="H11" i="5" s="1"/>
  <c r="H10" i="5"/>
  <c r="G10" i="5"/>
  <c r="G9" i="5"/>
  <c r="H9" i="5" s="1"/>
  <c r="G8" i="5"/>
  <c r="H8" i="5" s="1"/>
  <c r="G7" i="5"/>
  <c r="H7" i="5" s="1"/>
  <c r="C30" i="2"/>
  <c r="D6" i="6" l="1"/>
  <c r="D23" i="2"/>
  <c r="H29" i="5"/>
  <c r="H335" i="5"/>
  <c r="H369" i="5"/>
  <c r="H243" i="5"/>
  <c r="H281" i="5"/>
  <c r="E18" i="11"/>
  <c r="H177" i="5"/>
  <c r="H358" i="5"/>
  <c r="F7" i="11"/>
  <c r="D11" i="6" l="1"/>
  <c r="D28" i="2"/>
  <c r="D7" i="6"/>
  <c r="D24" i="2"/>
  <c r="D9" i="6"/>
  <c r="D26" i="2"/>
  <c r="D8" i="6"/>
  <c r="D25" i="2"/>
  <c r="D12" i="6"/>
  <c r="D29" i="2"/>
  <c r="D27" i="2"/>
  <c r="D10" i="6"/>
  <c r="D5" i="6"/>
  <c r="D13" i="6" s="1"/>
  <c r="H371" i="5"/>
  <c r="D22" i="2"/>
  <c r="D30" i="2" l="1"/>
  <c r="C7" i="10"/>
  <c r="D14" i="6"/>
  <c r="D15" i="6" l="1"/>
  <c r="C8" i="10"/>
  <c r="C9" i="10" s="1"/>
  <c r="C10" i="10" s="1"/>
  <c r="D7" i="10"/>
  <c r="E27" i="2"/>
  <c r="E25" i="2"/>
  <c r="E24" i="2"/>
  <c r="E22" i="2"/>
  <c r="E29" i="2"/>
  <c r="E28" i="2"/>
  <c r="E26" i="2"/>
  <c r="E23" i="2"/>
  <c r="C11" i="10" l="1"/>
  <c r="D8" i="10"/>
  <c r="E8" i="10" s="1"/>
  <c r="E7" i="10"/>
  <c r="D16" i="6"/>
  <c r="D17" i="6" s="1"/>
  <c r="D18" i="6" l="1"/>
  <c r="D19" i="6" s="1"/>
  <c r="D9" i="10"/>
  <c r="D17" i="11"/>
  <c r="C12" i="10"/>
  <c r="C13" i="10" s="1"/>
  <c r="D20" i="6" l="1"/>
  <c r="D21" i="6" s="1"/>
  <c r="C32" i="2"/>
  <c r="E9" i="10"/>
  <c r="D10" i="10"/>
  <c r="E10" i="10" s="1"/>
  <c r="F17" i="11"/>
  <c r="D18" i="11"/>
  <c r="F18" i="11" s="1"/>
  <c r="D7" i="7" l="1"/>
  <c r="D6" i="7"/>
  <c r="D10" i="7"/>
  <c r="B23" i="1"/>
  <c r="D8" i="7"/>
  <c r="D9" i="7"/>
  <c r="C33" i="2"/>
  <c r="F19" i="11"/>
  <c r="F20" i="11" s="1"/>
  <c r="D11" i="10"/>
  <c r="D11" i="7" l="1"/>
  <c r="D12" i="10"/>
  <c r="E12" i="10" s="1"/>
  <c r="E11" i="10"/>
  <c r="D13" i="10" l="1"/>
  <c r="E13" i="10" s="1"/>
  <c r="D14" i="10" s="1"/>
  <c r="E14" i="10" s="1"/>
</calcChain>
</file>

<file path=xl/sharedStrings.xml><?xml version="1.0" encoding="utf-8"?>
<sst xmlns="http://schemas.openxmlformats.org/spreadsheetml/2006/main" count="1554" uniqueCount="1069">
  <si>
    <t>LESTRAL CONSTRUCTORA
Electromecánica del Pacífico (EMP)</t>
  </si>
  <si>
    <t>PROYECTOS INDUSTRIALES LLAVE EN MANO  •  INGENIERÍA + CONSTRUCCIÓN + INSTALACIÓN</t>
  </si>
  <si>
    <t>PROPUESTA DE CONSTRUCCIÓN LLAVE EN MANO
REMODELACIÓN DE NAVE CON CUARTO LIMPIO</t>
  </si>
  <si>
    <t>Proyecto de Remodelación de Nave QMX México  •  Baja California, México</t>
  </si>
  <si>
    <t>CLIENTE</t>
  </si>
  <si>
    <t>QMX / QIUSHI</t>
  </si>
  <si>
    <t>PROYECTO</t>
  </si>
  <si>
    <t>Proyecto de Remodelación de Nave con Cuarto Limpio, México</t>
  </si>
  <si>
    <t>SITIO</t>
  </si>
  <si>
    <t>Baja California, México</t>
  </si>
  <si>
    <t>BASE DE LA COTIZACIÓN</t>
  </si>
  <si>
    <t>Proyecto ejecutivo y catálogo de cantidades del 10-sep-2026 (paquete IFC de Shanghai Jingdian)</t>
  </si>
  <si>
    <t>No. DE COTIZACIÓN</t>
  </si>
  <si>
    <t>EMP-QMX-2026-09-CR  •  Rev. D</t>
  </si>
  <si>
    <t>FECHA</t>
  </si>
  <si>
    <t>10 de septiembre de 2026</t>
  </si>
  <si>
    <t>VIGENCIA</t>
  </si>
  <si>
    <t>30 días naturales</t>
  </si>
  <si>
    <t>MONEDA</t>
  </si>
  <si>
    <t>Dólares americanos (USD)</t>
  </si>
  <si>
    <t>PLAZO DE EJECUCIÓN</t>
  </si>
  <si>
    <t>24 semanas a partir del anticipo</t>
  </si>
  <si>
    <t>PRESENTA</t>
  </si>
  <si>
    <t>ING. RODRIGO NUÑEZ LOUBET</t>
  </si>
  <si>
    <t>PRECIO TOTAL DE CONSTRUCCIÓN LLAVE EN MANO (IVA INCLUIDO)</t>
  </si>
  <si>
    <t>PROPUESTA CONFIDENCIAL  •  Elaborada exclusivamente para QMX  •  Blvd. Insurgentes, Tijuana, Baja California, México
Un solo punto de responsabilidad  •  Ingeniería, procura, construcción y puesta en servicio bajo un mismo contrato
Este documento sustituye a la propuesta EMP-QMX-2026-08-F1 Rev. C.1 en el alcance cubierto por el proyecto ejecutivo del 10-sep-2026.</t>
  </si>
  <si>
    <t>LESTRAL CONSTRUCTORA, S. DE R.L. DE C.V.   |   ELECTROMECÁNICA DEL PACÍFICO (EMP)</t>
  </si>
  <si>
    <t>2. RESUMEN EJECUTIVO</t>
  </si>
  <si>
    <t>Lestral Constructora / Electromecánica del Pacífico (EMP) presenta esta propuesta de construcción llave en mano para la remodelación de la nave QMX en Baja California, México, que comprende un ambiente controlado de clase ISO junto con sus áreas de apoyo de producción, inspección, vestidor, transferencia y oficinas.
La propuesta fue cotizada partida por partida contra el proyecto ejecutivo emitido el 10 de septiembre de 2026 por Shanghai Jingdian Planning &amp; Architectural Design: planos de arquitectura, estructura, HVAC, hidrosanitario, eléctrico, protección contra incendio y aire comprimido, junto con el catálogo de cantidades del mismo paquete. Todas las cantidades de esta cotización se toman directamente de ese catálogo, unidad por unidad, de manera que la oferta pueda compararse contra el documento del propio cliente sin necesidad de recuantificar.
El alcance cubre ocho disciplinas y 341 partidas cotizadas: preliminares y medidas de construcción; arquitectónico, estructura metálica y acabados; HVAC y sistemas de aire de cuarto limpio; instalaciones eléctricas; hidráulica, agua potable y drenaje; protección contra incendio y alarma; sistemas de TI, CCTV y control de acceso; y distribución de aire comprimido. EMP actúa como un solo punto de responsabilidad para la adecuación de ingeniería, la procura, la construcción, las pruebas y la puesta en servicio.
Dos asuntos requieren la atención del cliente y se desarrollan en la sección de Ingeniería de Valor. Primero, el diseño especifica equipos a 380 V trifásicos, que no es una tensión de distribución disponible en México; el catálogo lo resuelve con un transformador reductor de 200 kVA, pero reespecificar los equipos a 480/277-220 V elimina por completo el transformador. Segundo, el diseño de protección contra incendio sigue normas chinas GB; tanto la aprobación de la autoridad mexicana como el seguro de planta trabajan con NFPA. EMP cotizó el proyecto exactamente como está diseñado y cuantificó ambas alternativas por separado para que el cliente decida con elementos.</t>
  </si>
  <si>
    <t>COSTO POR DISCIPLINA</t>
  </si>
  <si>
    <t>DISCIPLINA</t>
  </si>
  <si>
    <t>PARTIDAS</t>
  </si>
  <si>
    <t>COSTO DIRECTO (USD)</t>
  </si>
  <si>
    <t>% DEL DIRECTO</t>
  </si>
  <si>
    <t>01 PRELIMINARES Y MEDIDAS DE CONSTRUCCIÓN</t>
  </si>
  <si>
    <t>02 ARQUITECTÓNICO, ESTRUCTURA Y ACABADOS</t>
  </si>
  <si>
    <t>03 HVAC Y SISTEMAS DE AIRE DE CUARTO LIMPIO</t>
  </si>
  <si>
    <t>04 INSTALACIONES ELÉCTRICAS</t>
  </si>
  <si>
    <t>05 HIDRÁULICA, AGUA POTABLE Y DRENAJE</t>
  </si>
  <si>
    <t>06 PROTECCIÓN CONTRA INCENDIO Y ALARMA</t>
  </si>
  <si>
    <t>07 SISTEMAS DE TI, CCTV Y CONTROL DE ACCESO</t>
  </si>
  <si>
    <t>08 DISTRIBUCIÓN DE AIRE COMPRIMIDO</t>
  </si>
  <si>
    <t>COSTO DIRECTO TOTAL</t>
  </si>
  <si>
    <t>Precio total antes de IVA</t>
  </si>
  <si>
    <t>Precio total con IVA 8%</t>
  </si>
  <si>
    <t>Plazo de ejecución (semanas)</t>
  </si>
  <si>
    <t>Ahorro identificado por ingeniería de valor</t>
  </si>
  <si>
    <t>Plazo optimizado (semanas)</t>
  </si>
  <si>
    <t>3. ALCANCE DEL TRABAJO DETALLADO POR SISTEMA Y DISCIPLINA</t>
  </si>
  <si>
    <t>El alcance siguiente es la descripción contractual de los trabajos. Corresponde partida por partida al catálogo cotizado de la hoja 5 y al proyecto ejecutivo emitido el 10-sep-2026.</t>
  </si>
  <si>
    <t>A.  PRELIMINARES Y MEDIDAS DE CONSTRUCCIÓN</t>
  </si>
  <si>
    <t>▪</t>
  </si>
  <si>
    <t>Administración de obra, superintendencia, coordinación de seguridad y administración de campo durante todo el plazo.</t>
  </si>
  <si>
    <t>Instalaciones provisionales, andamios, maniobras de izaje, servicios temporales, herramienta menor y limpieza de obra.</t>
  </si>
  <si>
    <t>Planos de taller, adecuación del paquete IFC a normativa mexicana (NOM-001-SEDE-2012, NOM-002-STPS-2010, referencias NFPA) y elaboración de planos as-built.</t>
  </si>
  <si>
    <t>Trazo, niveles y levantamiento; muestras, prototipos y pruebas de laboratorio; supervisión de calidad bajo plan de inspección y pruebas.</t>
  </si>
  <si>
    <t>Seguros y cuotas obligatorias, protección de obra terminada, reporte diario de avance con registro fotográfico.</t>
  </si>
  <si>
    <t>Pruebas de calidad de aire interior a la terminación y pruebas, verificación y visto bueno de protección contra incendio ante autoridad.</t>
  </si>
  <si>
    <t>B.  ARQUITECTÓNICO, ESTRUCTURA Y ACABADOS</t>
  </si>
  <si>
    <t>Estructura metálica: columnas, vigas, largueros, tensores, puntales, escaleras, placas ahogadas y tornillería de alta resistencia, con primario de taller y montaje.</t>
  </si>
  <si>
    <t>Envolvente de cuarto limpio en panel sándwich de lana mineral de 50 mm con perfilería de aluminio y juntas totalmente selladas, incluye plafón transitable.</t>
  </si>
  <si>
    <t>Muros de block ligero con repellado, anclaje, refuerzo, dalas y dinteles; malla de cerramiento.</t>
  </si>
  <si>
    <t>Pisos: sistema epóxico disipativo con retícula de cobre sobre mortero epóxico, epóxico bicomponente estándar, loseta antiderrapante sobre impermeabilizante de poliuretano.</t>
  </si>
  <si>
    <t>Puertas de cuarto limpio (dos hojas, una hoja y corrediza) con herrajes completos; ventanas de observación en cristal templado; puertas de baño en chapa de madera.</t>
  </si>
  <si>
    <t>Acabado de baños: azulejo en muro y piso, plafón de aluminio, cubierta de lavabo en mármol, espejo con marco, mamparas, barras de apoyo y accesorios.</t>
  </si>
  <si>
    <t>Demolición de baños, muros divisorios y plafones existentes, con reparación de piso igualando el acabado contiguo.</t>
  </si>
  <si>
    <t>C.  HVAC Y SISTEMAS DE AIRE DE CUARTO LIMPIO</t>
  </si>
  <si>
    <t>Aire acondicionado de cuarto limpio: fan coils de alta presión estática alimentados por una unidad condensadora exterior de 123.5 kW, con termostatos, distribuidores refnet y distribución completa de refrigerante.</t>
  </si>
  <si>
    <t>Aire exterior de cuarto limpio: unidad manejadora de expansión directa de 2,500 m3/h a 300 Pa de presión estática externa con su sección condensadora exterior, compuertas motorizadas y manuales, y manómetros diferenciales para la cascada de presión.</t>
  </si>
  <si>
    <t>Climatización de áreas no clasificadas: unidades interiores multi-split tipo cassette de cuatro vías alimentadas por una condensadora de 33.5 kW, y recuperador de calor total para aire exterior.</t>
  </si>
  <si>
    <t>Ventilación y extracción: ventiladores centrífugos en línea y tipo gabinete, extractores de baño, unidad de filtración de carbón activado para extracción de proceso, celosías a prueba de lluvia y sombreretes.</t>
  </si>
  <si>
    <t>Ducto de lámina galvanizada fabricado e instalado con clase de hermeticidad conforme a GB 50243-2016 / equivalente SMACNA, con aislamiento elastomérico clase B1 y conexiones flexibles de lona.</t>
  </si>
  <si>
    <t>Columnas de retorno, soportería, drenaje de condensados en UPVC, carga adicional de refrigerante y todos los accesorios de tubería.</t>
  </si>
  <si>
    <t>Sistema de control automático del HVAC de cuarto limpio: controladores, sensores de campo, cableado, programación y puesta en marcha.</t>
  </si>
  <si>
    <t>Pruebas, ajuste y balanceo de todos los sistemas de aire, con resultados documentados por zona.</t>
  </si>
  <si>
    <t>D.  INSTALACIONES ELÉCTRICAS</t>
  </si>
  <si>
    <t>Transformador seco tipo interior de 200 kVA, primario 480 V / secundario 380 V, con base y conexiones, según proyecto ejecutivo.</t>
  </si>
  <si>
    <t>Ocho tableros de distribución (1APZ, 1AL1, 1AP-KT, 2AC-KT1, 2AC-KT2, 1AC-PW1, 1AC-PW2, 1ALED) según diagrama unifilar, con interruptores y conexiones, más la adecuación de tableros existentes afectados por el nuevo layout.</t>
  </si>
  <si>
    <t>Charola galvanizada por inmersión en caliente tipo escalera y tipo canal con puentes de continuidad; sistemas de tubería conduit de acero ocultos en plenum de plafón.</t>
  </si>
  <si>
    <t>Cableado de fuerza en cobre con aislamiento XLPE libre de halógenos, desde 3x4 mm2 hasta 4x150+1x70 mm2, con terminales tipo seco interior.</t>
  </si>
  <si>
    <t>Alumbrado: luminarios LED tipo panel plano sobreponer y empotrados, luminarios de emergencia con respaldo de batería, señales luminosas direccionales y de salida.</t>
  </si>
  <si>
    <t>Apagadores, contactos de seguridad incluyendo tipo intemperie, cajas de conexión y todas las conexiones finales.</t>
  </si>
  <si>
    <t>Puesta a tierra y equipotencialidad: cajas de equipotencialidad suplementaria, solera galvanizada, conductores de tierra en tubo, con medición de resistencia y certificación.</t>
  </si>
  <si>
    <t>Puesta en servicio del sistema de distribución menor a 1 kV y desmantelamiento de instalaciones eléctricas existentes.</t>
  </si>
  <si>
    <t>E.  HIDRÁULICA, AGUA POTABLE Y DRENAJE</t>
  </si>
  <si>
    <t>Muebles sanitarios: inodoros, mingitorios con fluxómetro de sensor, lavabos bajo cubierta con mezcladora y vertedero de aseo.</t>
  </si>
  <si>
    <t>Distribución de agua potable en PP-R de De20 a De40, oculta en plenum de plafón y ahogada en muro.</t>
  </si>
  <si>
    <t>Drenaje sanitario: colector de acero galvanizado con recubrimiento epóxico interior De110 y ramales de PVC De110, De75 y De50, con coladeras y registros de limpieza.</t>
  </si>
  <si>
    <t>Válvulas y especialidades: válvulas de compuerta de bronce y de fierro, válvulas check, juntas flexibles de hule, manómetro y rompedor de vacío.</t>
  </si>
  <si>
    <t>Estación integral de bombeo de aguas residuales con dos bombas de 10 m3/h a 20 m de carga y tablero de control, más una bomba de 3.6 m3/h con su tablero.</t>
  </si>
  <si>
    <t>Excavación, relleno, restitución de losa y ranurado en muro para tubería enterrada y oculta, con sellado cortafuego en todas las penetraciones.</t>
  </si>
  <si>
    <t>Prueba de presión, prueba de hermeticidad y lavado de la instalación completa, y desmantelamiento de tubería y equipo hidrosanitario existente.</t>
  </si>
  <si>
    <t>F.  PROTECCIÓN CONTRA INCENDIO Y ALARMA</t>
  </si>
  <si>
    <t>Sistema de hidrantes: tubería galvanizada por inmersión en caliente DN100 y DN65 con sistema ranurado, cinco gabinetes de hidrante interior completos con válvula, pitón y manguera de 25 m, y ocho gabinetes de extintores con dos extintores cada uno.</t>
  </si>
  <si>
    <t>Sistema de rociadores: tubería galvanizada por inmersión en caliente de DN25 a DN150, 118 rociadores colgantes K=80, válvula de mariposa con supervisión, detector de flujo, purga automática de aire y válvula de prueba del inspector.</t>
  </si>
  <si>
    <t>Arriostramiento sísmico, soportería, sellado cortafuego en todas las penetraciones, y prueba hidrostática, de hermeticidad y lavado de ambos sistemas húmedos.</t>
  </si>
  <si>
    <t>Alarma contra incendio: panel repetidor y de control montado en piso, detectores de humo fotoeléctricos direccionables, dispositivos audibles y visuales, bocinas, estaciones manuales, botones de hidrante y jacks de teléfono de bomberos.</t>
  </si>
  <si>
    <t>Módulos direccionables de entrada, salida y entrada/salida con aisladores de cortocircuito de lazo, en cable resistente al fuego y tubería conduit dedicada.</t>
  </si>
  <si>
    <t>Verificación punto a punto, programación y puesta en servicio del sistema completo de detección y alarma, y desmantelamiento de instalaciones de protección contra incendio existentes.</t>
  </si>
  <si>
    <t>G.  SISTEMAS DE TI, CCTV Y CONTROL DE ACCESO</t>
  </si>
  <si>
    <t>CCTV: ocho cámaras de red tipo bala infrarrojas de interior de 4 MP o superior con amplio rango dinámico y entrada de audio, sobre cableado CAT.6 en charola y tubería dedicadas, integradas con el NVR y servidor existentes.</t>
  </si>
  <si>
    <t>Control de acceso: siete terminales de reconocimiento facial con fuentes conmutadas, chapas magnéticas para puerta sencilla y doble, y botones de salida.</t>
  </si>
  <si>
    <t>Cableado de fuerza blindado y sin blindaje, sistemas de tubería conduit de acero y cajas de conexión para ambos subsistemas.</t>
  </si>
  <si>
    <t>Configuración, integración con el servidor y enrolador existentes del cliente, pruebas funcionales y puesta en servicio.</t>
  </si>
  <si>
    <t>El equipo de cabecera (servidor, switches, NVR y enrolador) se reutiliza de la instalación existente del cliente, según lo indicado en el proyecto ejecutivo.</t>
  </si>
  <si>
    <t>H.  DISTRIBUCIÓN DE AIRE COMPRIMIDO</t>
  </si>
  <si>
    <t>Cabezal principal en acero inoxidable SUS304 DN50 con todos sus accesorios y soportería.</t>
  </si>
  <si>
    <t>Ocho bajadas DN20 con válvulas de corte manual preinstaladas en el cabezal para conexión futura de ramales, a razón de 0.8 m por bajada.</t>
  </si>
  <si>
    <t>Barrenos en muro con sellado cortafuego, prueba de presión, prueba de hermeticidad y purga de líneas.</t>
  </si>
  <si>
    <t>El alcance se limita al cabezal principal y a las válvulas preinstaladas; la tubería de ramales aguas abajo de cada válvula hasta el punto de uso no está incluida, según lo indicado en el proyecto ejecutivo.</t>
  </si>
  <si>
    <t>4. EXCLUSIONES, SUPUESTOS Y BASE DEL PRECIO</t>
  </si>
  <si>
    <t>EXCLUSIONES</t>
  </si>
  <si>
    <t>1</t>
  </si>
  <si>
    <t>Equipo de proceso y producción, y cualquier conexión de servicio aguas abajo de la válvula preinstalada o caja terminal que deja este contrato.</t>
  </si>
  <si>
    <t>2</t>
  </si>
  <si>
    <t>Tubería de ramales de aire comprimido aguas abajo de las ocho válvulas DN20 preinstaladas; compresor, secador, tanque y tren de tratamiento de aire.</t>
  </si>
  <si>
    <t>3</t>
  </si>
  <si>
    <t>Equipo de cabecera de baja tensión: servidor de CCTV, switches, NVR, servidor de control de acceso y enrolador, todos reutilizados de la instalación existente del cliente.</t>
  </si>
  <si>
    <t>4</t>
  </si>
  <si>
    <t>Mobiliario de oficina, estaciones de trabajo, lockers, gabinetes, lavabos del vestidor y botes de basura, según lo señalado en el catálogo del cliente.</t>
  </si>
  <si>
    <t>5</t>
  </si>
  <si>
    <t>Generación, almacenamiento y distribución de agua desionizada, purificada o de proceso.</t>
  </si>
  <si>
    <t>6</t>
  </si>
  <si>
    <t>Permisos, licencias y derechos municipales, estatales y federales; cuotas de conexión y cargos por demanda de la compañía suministradora.</t>
  </si>
  <si>
    <t>7</t>
  </si>
  <si>
    <t>Ampliación del servicio eléctrico aguas arriba del tablero general existente, incluyendo transformador de la compañía, medición y alimentador primario.</t>
  </si>
  <si>
    <t>8</t>
  </si>
  <si>
    <t>Refuerzo estructural de la losa, cimentación o cubierta del edificio existente más allá de la estructura metálica indicada en el proyecto ejecutivo.</t>
  </si>
  <si>
    <t>9</t>
  </si>
  <si>
    <t>Retiro, tratamiento o disposición de materiales peligrosos, asbesto o suelo contaminado que se descubran durante los trabajos.</t>
  </si>
  <si>
    <t>10</t>
  </si>
  <si>
    <t>Vestimenta de cuarto limpio, consumibles, filtros de repuesto adicionales al primer juego instalado, y capacitación de operadores más allá de la sesión de entrega.</t>
  </si>
  <si>
    <t>11</t>
  </si>
  <si>
    <t>Honorarios de organismos certificadores externos cuando el cliente decida designar un certificador independiente.</t>
  </si>
  <si>
    <t>12</t>
  </si>
  <si>
    <t>Impuestos de importación y gastos aduanales sobre equipo suministrado por el cliente.</t>
  </si>
  <si>
    <t>SUPUESTOS Y BASE DEL PRECIO</t>
  </si>
  <si>
    <t>Todas las cantidades se toman del catálogo del cliente del 10-sep-2026 sin recuantificar. Las cantidades quedan sujetas a verificación contra los planos IFC durante la elaboración de planos de taller; las variaciones se liquidan a los precios unitarios de esta cotización.</t>
  </si>
  <si>
    <t>Los precios unitarios son firmes por 30 días naturales y se expresan en dólares americanos. Cuando se requiere tipo de cambio de referencia para insumos en pesos, se utilizó 17.00 MXN por USD; el tipo de cambio se reconsidera a la firma del contrato.</t>
  </si>
  <si>
    <t>Los precios incluyen material, mano de obra, equipo, herramienta, transporte, supervisión, indirectos de campo y las obligaciones de garantía del contratista, puesto en obra e instalado.</t>
  </si>
  <si>
    <t>Acceso libre, seguro y continuo a las áreas de trabajo durante el horario acordado, con frente de trabajo despejado y área de maniobra adecuada dentro de la planta.</t>
  </si>
  <si>
    <t>El servicio eléctrico existente tiene capacidad disponible suficiente en el tablero general para alimentar la nueva carga; esto se confirma mediante medición durante las primeras dos semanas y se reporta al cliente.</t>
  </si>
  <si>
    <t>El equipo a 380 V especificado en el proyecto ejecutivo se cotiza tal como está diseñado, junto con el transformador reductor de 200 kVA necesario para alimentarlo.</t>
  </si>
  <si>
    <t>El sistema de protección contra incendio se cotiza tal como está diseñado bajo normas GB. Se asume que la aprobación de la autoridad mexicana y de la aseguradora de la planta la obtiene el cliente sobre esa base, o bien se adopta la alternativa NFPA de la sección de Ingeniería de Valor.</t>
  </si>
  <si>
    <t>La estructura, losa y cubierta del edificio se encuentran en buen estado y son capaces de recibir las nuevas cargas sin refuerzo distinto al indicado en los planos.</t>
  </si>
  <si>
    <t>Los trabajos se ejecutan en un solo turno diurno, de lunes a sábado. En preliminares se lleva una provisión de trabajo nocturno y aceleración que se libera si se otorga acceso las 24 horas.</t>
  </si>
  <si>
    <t>Aplica IVA del 8% conforme al estímulo fiscal de la Región Fronteriza Norte para Baja California.</t>
  </si>
  <si>
    <t>Los cambios de alcance, cantidad o especificación se ejecutan contra orden de cambio firmada, a los precios unitarios aquí establecidos.</t>
  </si>
  <si>
    <t>5. DESGLOSE POR PARTIDAS  —  TODAS LAS CIFRAS EN USD</t>
  </si>
  <si>
    <t>CELDAS EDITABLES: columnas E y F (precio unitario de material e instalación), en azul. Todo lo demás está en fórmula y se actualiza automáticamente.</t>
  </si>
  <si>
    <t>CÓDIGO</t>
  </si>
  <si>
    <t>DESCRIPCIÓN</t>
  </si>
  <si>
    <t>UNIDAD</t>
  </si>
  <si>
    <t>CANTIDAD</t>
  </si>
  <si>
    <t>P.U. MATERIAL</t>
  </si>
  <si>
    <t>P.U. INSTALACIÓN</t>
  </si>
  <si>
    <t>P.U. TOTAL</t>
  </si>
  <si>
    <t>IMPORTE</t>
  </si>
  <si>
    <t>SECCIÓN A  —  01 PRELIMINARES Y MEDIDAS DE CONSTRUCCIÓN</t>
  </si>
  <si>
    <t>A-001</t>
  </si>
  <si>
    <t>Administración de obra: superintendente, coordinador de seguridad y administración de campo durante todo el periodo de construcción</t>
  </si>
  <si>
    <t>LOTE</t>
  </si>
  <si>
    <t>A-002</t>
  </si>
  <si>
    <t>Instalaciones provisionales: montaje, uso y desmontaje de oficina de obra, almacén, área de cambio y servicios temporales</t>
  </si>
  <si>
    <t>A-003</t>
  </si>
  <si>
    <t>Medidas de seguridad y vigilancia en obra: señalización, barreras, EPP, guardia contra incendio y control de acceso</t>
  </si>
  <si>
    <t>A-004</t>
  </si>
  <si>
    <t>Descarga, recepción, resguardo y maniobra interna de equipos y materiales del cliente y del contratista</t>
  </si>
  <si>
    <t>A-005</t>
  </si>
  <si>
    <t>Andamios y plataformas de trabajo en altura: montaje, desmontaje, renta, transporte y consumibles</t>
  </si>
  <si>
    <t>A-006</t>
  </si>
  <si>
    <t>Consumo de servicios durante la construcción (energía eléctrica, agua, aire comprimido)</t>
  </si>
  <si>
    <t>A-007</t>
  </si>
  <si>
    <t>Seguros de personal y equipo: responsabilidad civil, todo riesgo de construcción, IMSS y cuotas obrero-patronales</t>
  </si>
  <si>
    <t>A-008</t>
  </si>
  <si>
    <t>Maniobras de izaje y grúa requeridas para la colocación de materiales y equipos</t>
  </si>
  <si>
    <t>A-009</t>
  </si>
  <si>
    <t>Planos de taller, adecuación del paquete IFC a normativa mexicana (NOM-001-SEDE, NOM-002-STPS, NFPA) y elaboración de planos as-built</t>
  </si>
  <si>
    <t>A-010</t>
  </si>
  <si>
    <t>Acarreo secundario de materiales y transporte interno dentro de la planta</t>
  </si>
  <si>
    <t>A-011</t>
  </si>
  <si>
    <t>Niveles de proyecto, trazo, ejes y levantamiento topográfico</t>
  </si>
  <si>
    <t>A-012</t>
  </si>
  <si>
    <t>Reporte diario de avance y registro fotográfico</t>
  </si>
  <si>
    <t>A-013</t>
  </si>
  <si>
    <t>Protección de obra terminada y superficies acabadas hasta la entrega</t>
  </si>
  <si>
    <t>A-014</t>
  </si>
  <si>
    <t>Muestras de materiales, prototipos y pruebas de laboratorio</t>
  </si>
  <si>
    <t>A-015</t>
  </si>
  <si>
    <t>Supervisión de calidad de materiales y procedimientos, incluyendo plan de inspección y pruebas (ITP)</t>
  </si>
  <si>
    <t>A-016</t>
  </si>
  <si>
    <t>Provisión para trabajo nocturno y aceleración de programa</t>
  </si>
  <si>
    <t>A-017</t>
  </si>
  <si>
    <t>Uso de herramienta menor y equipo de apoyo</t>
  </si>
  <si>
    <t>A-018</t>
  </si>
  <si>
    <t>Limpieza de obra, separación de residuos, retiro y disposición autorizada</t>
  </si>
  <si>
    <t>A-019</t>
  </si>
  <si>
    <t>Pagos a dependencias de gobierno durante la ejecución del contrato</t>
  </si>
  <si>
    <t>A-020</t>
  </si>
  <si>
    <t>Pruebas de calidad de aire interior a la terminación</t>
  </si>
  <si>
    <t>A-021</t>
  </si>
  <si>
    <t>Pruebas, verificación y visto bueno de protección contra incendio ante autoridad</t>
  </si>
  <si>
    <t>A-022</t>
  </si>
  <si>
    <t>Juegos de planos, transmittals y registros de aprobación firmados</t>
  </si>
  <si>
    <t>A TOTAL</t>
  </si>
  <si>
    <t xml:space="preserve">SUBTOTAL SECCIÓN A  —  01 PRELIMINARES Y MEDIDAS DE CONSTRUCCIÓN     </t>
  </si>
  <si>
    <t>SECCIÓN B  —  02 ARQUITECTÓNICO, ESTRUCTURA Y ACABADOS</t>
  </si>
  <si>
    <t>B-001</t>
  </si>
  <si>
    <t>Columnas de acero 200x200x6 Q235B equivalente ASTM A36/A572, incluye placas base, atiesadores, tornillos grado C y anclas, con primario de taller</t>
  </si>
  <si>
    <t>TON</t>
  </si>
  <si>
    <t>B-002</t>
  </si>
  <si>
    <t>Vigas de acero HM244x175x7x11 y HM294x200x8x12 equivalente Q235B, incluye conexiones y primario de taller</t>
  </si>
  <si>
    <t>B-003</t>
  </si>
  <si>
    <t>Largueros, tensores rectos y diagonales, puntales y escaleras: canal, ángulo, tubo rectangular, placa y viga I</t>
  </si>
  <si>
    <t>B-004</t>
  </si>
  <si>
    <t>Placas e insertos ahogados según planos, incluye limpieza y primario anticorrosivo</t>
  </si>
  <si>
    <t>B-005</t>
  </si>
  <si>
    <t>Tornillería estructural de alta resistencia M20 grado 10.9, incluye arandelas y registro de torque</t>
  </si>
  <si>
    <t>EQ</t>
  </si>
  <si>
    <t>B-006</t>
  </si>
  <si>
    <t>Muro de block ligero de 200 mm con repellado de mortero cemento-arena, incluye anclaje, refuerzo, dala, reventón y dinteles</t>
  </si>
  <si>
    <t>M2</t>
  </si>
  <si>
    <t>B-007</t>
  </si>
  <si>
    <t>Muro de azulejo 300x600 mm en baños, adherido con pegazulejo especial sobre impermeabilizante de poliuretano de 1.5 mm</t>
  </si>
  <si>
    <t>B-008</t>
  </si>
  <si>
    <t>Muro divisorio de panel sándwich para cuarto limpio, núcleo de lana mineral de 50 mm, incluye perfilería de aluminio y sellado total de juntas con silicón</t>
  </si>
  <si>
    <t>B-009</t>
  </si>
  <si>
    <t>Malla de cerramiento con postes de PTR 50 mm a cada 2.5 m, alambre de malla no menor a 2.4 mm, incluye puerta y anclaje a piso</t>
  </si>
  <si>
    <t>ML</t>
  </si>
  <si>
    <t>B-010</t>
  </si>
  <si>
    <t>Piso de loseta antiderrapante 600x600 mm adherida con pegazulejo especial sobre impermeabilizante de poliuretano de 1.5 mm</t>
  </si>
  <si>
    <t>B-011</t>
  </si>
  <si>
    <t>Piedra de umbral incluye adhesivo, preparación de superficie, nivelación, biselado y pulido de canto</t>
  </si>
  <si>
    <t>B-012</t>
  </si>
  <si>
    <t>Sistema de piso epóxico disipativo (ESD): primario epóxico, mortero epóxico, mortero epóxico antiestático, retícula de cobre y acabado epóxico</t>
  </si>
  <si>
    <t>B-013</t>
  </si>
  <si>
    <t>Recubrimiento epóxico bicomponente de 2 mm de espesor, incluye limpieza y preparación de la superficie</t>
  </si>
  <si>
    <t>B-014</t>
  </si>
  <si>
    <t>Materiales auxiliares para trabajos de piso (selladores, cintas, perfiles de transición, consumibles)</t>
  </si>
  <si>
    <t>B-015</t>
  </si>
  <si>
    <t>Plafón de cuarto limpio en panel sándwich de alma hueca de 50 mm, incluye perfilería de aluminio y sellado total de juntas</t>
  </si>
  <si>
    <t>B-016</t>
  </si>
  <si>
    <t>Plafón de aluminio 600x600x0.8 mm en baños, incluye huecos, perfil de remate, suspensión de acero ligero y toda la tornillería</t>
  </si>
  <si>
    <t>B-017</t>
  </si>
  <si>
    <t>Materiales auxiliares para trabajos de plafón (colgantes, selladores, remates, consumibles)</t>
  </si>
  <si>
    <t>B-018</t>
  </si>
  <si>
    <t>Puerta de dos hojas en panel de cuarto limpio M-01, 2000x2330 mm, juego completo de herrajes según planos</t>
  </si>
  <si>
    <t>PZA</t>
  </si>
  <si>
    <t>B-019</t>
  </si>
  <si>
    <t>Puerta corrediza en panel de cuarto limpio, 2000x2330 mm, juego completo de herrajes según planos</t>
  </si>
  <si>
    <t>B-020</t>
  </si>
  <si>
    <t>Puerta de una hoja en panel de cuarto limpio M-02, 1000x2330 mm, juego completo de herrajes según planos</t>
  </si>
  <si>
    <t>B-021</t>
  </si>
  <si>
    <t>Puerta de una hoja para baño M-03, 1000x2300 mm, acabado en chapa de madera WD-01, incluye marco y herrajes</t>
  </si>
  <si>
    <t>B-022</t>
  </si>
  <si>
    <t>Puerta de una hoja para baño M-04, 750x2300 mm, acabado en chapa de madera WD-01, incluye marco y herrajes</t>
  </si>
  <si>
    <t>B-023</t>
  </si>
  <si>
    <t>Ventana de observación 2300x1500 mm, cristal templado sencillo de 6 mm, montaje a hueso en panel de cuarto limpio</t>
  </si>
  <si>
    <t>B-024</t>
  </si>
  <si>
    <t>Ventana de observación 1150x1500 mm, cristal templado sencillo de 6 mm, montaje a hueso en panel de cuarto limpio</t>
  </si>
  <si>
    <t>B-025</t>
  </si>
  <si>
    <t>Lavabo corrido con cubierta de mármol 2300x600 mm, incluye biselado y pulido de canto</t>
  </si>
  <si>
    <t>B-026</t>
  </si>
  <si>
    <t>Espejo plateado 2300x1150 mm con marco de acero inoxidable cepillado natural de 1.2 mm según planos</t>
  </si>
  <si>
    <t>B-027</t>
  </si>
  <si>
    <t>Mamparas prefabricadas de sanitario y mamparas de mingitorio, incluye herrajes</t>
  </si>
  <si>
    <t>B-028</t>
  </si>
  <si>
    <t>Barra de apoyo para accesibilidad, acabado de fábrica, instalada según planos</t>
  </si>
  <si>
    <t>B-029</t>
  </si>
  <si>
    <t>Gancho sencillo de acero inoxidable 304 acabado brillante, con protección a golpes</t>
  </si>
  <si>
    <t>B-030</t>
  </si>
  <si>
    <t>Portarrollo con repisa, referencia 160x100 mm, acero inoxidable 304 acabado brillante, sin fijaciones expuestas</t>
  </si>
  <si>
    <t>B-031</t>
  </si>
  <si>
    <t>Demolición y reparación: muros, pisos y plafones de baños existentes; otros muros divisorios y plafones; reparación de piso igualando el acabado contiguo</t>
  </si>
  <si>
    <t>B TOTAL</t>
  </si>
  <si>
    <t xml:space="preserve">SUBTOTAL SECCIÓN B  —  02 ARQUITECTÓNICO, ESTRUCTURA Y ACABADOS     </t>
  </si>
  <si>
    <t>SECCIÓN C  —  03 HVAC Y SISTEMAS DE AIRE DE CUARTO LIMPIO</t>
  </si>
  <si>
    <t>C-001</t>
  </si>
  <si>
    <t>Fan coil de alta presión estática, 10.0 kW frío / 11.2 kW calor, 250 W, 1F 220V 60Hz, con bomba de condensados integrada</t>
  </si>
  <si>
    <t>C-002</t>
  </si>
  <si>
    <t>Fan coil de alta presión estática, 12.5 kW frío / 14.0 kW calor, 340 W, 1F 220V 60Hz, con bomba de condensados integrada</t>
  </si>
  <si>
    <t>C-003</t>
  </si>
  <si>
    <t>Unidad interior multi-split tipo cassette de 4 vías, 5.6 kW frío / 6.5 kW calor, 40 W, 1F 220V 60Hz</t>
  </si>
  <si>
    <t>C-004</t>
  </si>
  <si>
    <t>Unidad condensadora exterior para el sistema de fan coils, 123.5 kW frío / 137.5 kW calor, 41.57 kW, 3F 60Hz, montada sobre base exterior</t>
  </si>
  <si>
    <t>C-005</t>
  </si>
  <si>
    <t>Termostato de pared con control de temperatura ambiente</t>
  </si>
  <si>
    <t>C-006</t>
  </si>
  <si>
    <t>Distribuidor de derivación refnet, tipo E-102SN</t>
  </si>
  <si>
    <t>C-007</t>
  </si>
  <si>
    <t>Distribuidor de derivación refnet, tipo E-162SN</t>
  </si>
  <si>
    <t>C-008</t>
  </si>
  <si>
    <t>Distribuidor de derivación refnet, tipo E-242SN</t>
  </si>
  <si>
    <t>C-009</t>
  </si>
  <si>
    <t>Distribuidor de derivación refnet, tipo E-302SN</t>
  </si>
  <si>
    <t>C-010</t>
  </si>
  <si>
    <t>Difusor cuadrado de plafón 350x350 mm</t>
  </si>
  <si>
    <t>C-011</t>
  </si>
  <si>
    <t>Difusor cuadrado de plafón 500x500 mm</t>
  </si>
  <si>
    <t>C-012</t>
  </si>
  <si>
    <t>Rejilla de una deflexión 800x300 mm</t>
  </si>
  <si>
    <t>C-013</t>
  </si>
  <si>
    <t>Ducto de lámina galvanizada, calibre y clase de hermeticidad conforme a GB 50243-2016 / equivalente SMACNA</t>
  </si>
  <si>
    <t>C-014</t>
  </si>
  <si>
    <t>Aislamiento de ducto, espuma elastomérica retardante a la flama clase B1, espesor 20 mm</t>
  </si>
  <si>
    <t>M3</t>
  </si>
  <si>
    <t>C-015</t>
  </si>
  <si>
    <t>Tubería de refrigerante, cobre sin costura desoxidado al fósforo, diám. 9.53 mm, aislada</t>
  </si>
  <si>
    <t>C-016</t>
  </si>
  <si>
    <t>Tubería de refrigerante, cobre sin costura desoxidado al fósforo, diám. 12.7 mm, aislada</t>
  </si>
  <si>
    <t>C-017</t>
  </si>
  <si>
    <t>Tubería de refrigerante, cobre sin costura desoxidado al fósforo, diám. 15.9 mm, aislada</t>
  </si>
  <si>
    <t>C-018</t>
  </si>
  <si>
    <t>Tubería de refrigerante, cobre sin costura desoxidado al fósforo, diám. 19.05 mm, aislada</t>
  </si>
  <si>
    <t>C-019</t>
  </si>
  <si>
    <t>Tubería de refrigerante, cobre sin costura desoxidado al fósforo, diám. 22.2 mm, aislada</t>
  </si>
  <si>
    <t>C-020</t>
  </si>
  <si>
    <t>Tubería de refrigerante, cobre sin costura desoxidado al fósforo, diám. 28.6 mm, aislada</t>
  </si>
  <si>
    <t>C-021</t>
  </si>
  <si>
    <t>Tubería de refrigerante, cobre sin costura desoxidado al fósforo, diám. 34.92 mm, aislada</t>
  </si>
  <si>
    <t>C-022</t>
  </si>
  <si>
    <t>Tubería de condensados, UPVC, DN25, con pendiente y soportería</t>
  </si>
  <si>
    <t>C-023</t>
  </si>
  <si>
    <t>Tubería de condensados, UPVC, DN32, con pendiente y soportería</t>
  </si>
  <si>
    <t>C-024</t>
  </si>
  <si>
    <t>Tubería de condensados, UPVC, DN40, con pendiente y soportería</t>
  </si>
  <si>
    <t>C-025</t>
  </si>
  <si>
    <t>Accesorios de tubería: codos, tes, reducciones y accesorios para el sistema de A/A de cuarto limpio</t>
  </si>
  <si>
    <t>C-026</t>
  </si>
  <si>
    <t>Aislamiento de tubería, espuma elastomérica retardante a la flama clase B1, espesor 25 mm</t>
  </si>
  <si>
    <t>C-027</t>
  </si>
  <si>
    <t>Conexión flexible de ducto, tipo lona</t>
  </si>
  <si>
    <t>C-028</t>
  </si>
  <si>
    <t>Carga adicional de refrigerante, R-410A</t>
  </si>
  <si>
    <t>KG</t>
  </si>
  <si>
    <t>C-029</t>
  </si>
  <si>
    <t>Fabricación e instalación de soportería metálica en general, incluye limpieza y pintura</t>
  </si>
  <si>
    <t>C-030</t>
  </si>
  <si>
    <t>Columna de retorno de aire para cuarto limpio, L1100 x A180 x H3000 mm, en panel de cuarto limpio</t>
  </si>
  <si>
    <t>C-031</t>
  </si>
  <si>
    <t>Ranurado en piso y muro, barrenos y sellado cortafuego para el sistema de A/A de cuarto limpio</t>
  </si>
  <si>
    <t>C-032</t>
  </si>
  <si>
    <t>Pruebas, arranque y balanceo de aire del sistema de A/A de cuarto limpio</t>
  </si>
  <si>
    <t>C-033</t>
  </si>
  <si>
    <t>Unidad manejadora de aire de expansión directa, sección interior: 2500 m3/h de aire exterior, 300 Pa de presión estática externa, 25 kW frío / 25.8 kW calor, 1.1 kW</t>
  </si>
  <si>
    <t>C-034</t>
  </si>
  <si>
    <t>Unidad manejadora de aire de expansión directa, sección condensadora exterior: 25.2 kW frío / 28 kW calor, 5.97 kW, 3F 60Hz, sobre base exterior</t>
  </si>
  <si>
    <t>C-035</t>
  </si>
  <si>
    <t>C-036</t>
  </si>
  <si>
    <t>Difusor cuadrado de plafón 150x150 mm</t>
  </si>
  <si>
    <t>C-037</t>
  </si>
  <si>
    <t>Compuerta de regulación multihoja 250x120 mm</t>
  </si>
  <si>
    <t>C-038</t>
  </si>
  <si>
    <t>Compuerta de regulación multihoja 500x200 mm</t>
  </si>
  <si>
    <t>C-039</t>
  </si>
  <si>
    <t>Compuerta motorizada 320x400 mm</t>
  </si>
  <si>
    <t>C-040</t>
  </si>
  <si>
    <t>Compuerta motorizada multihoja de hojas opuestas 320x400 mm</t>
  </si>
  <si>
    <t>C-041</t>
  </si>
  <si>
    <t>Compuerta de regulación de hojas opuestas 630x250 mm</t>
  </si>
  <si>
    <t>C-042</t>
  </si>
  <si>
    <t>Ducto de lámina galvanizada para el sistema de aire exterior</t>
  </si>
  <si>
    <t>C-043</t>
  </si>
  <si>
    <t>Aislamiento de ducto, espuma elastomérica retardante a la flama clase B1, espesor 30 mm</t>
  </si>
  <si>
    <t>C-044</t>
  </si>
  <si>
    <t>Tubería de refrigerante, cobre sin costura, diám. 9.53 mm, aislada</t>
  </si>
  <si>
    <t>C-045</t>
  </si>
  <si>
    <t>Tubería de refrigerante, cobre sin costura, diám. 19.05 mm, aislada</t>
  </si>
  <si>
    <t>C-046</t>
  </si>
  <si>
    <t>Tubería de condensados, UPVC, DN25</t>
  </si>
  <si>
    <t>C-047</t>
  </si>
  <si>
    <t>Accesorios de tubería para el sistema de aire exterior</t>
  </si>
  <si>
    <t>C-048</t>
  </si>
  <si>
    <t>Aislamiento de tubería, espuma elastomérica clase B1, espesor 25 mm</t>
  </si>
  <si>
    <t>C-049</t>
  </si>
  <si>
    <t>C-050</t>
  </si>
  <si>
    <t>C-051</t>
  </si>
  <si>
    <t>Soportería metálica para el sistema de aire exterior, incluye limpieza y pintura</t>
  </si>
  <si>
    <t>C-052</t>
  </si>
  <si>
    <t>Ranurado en piso y muro, barrenos y sellado cortafuego para el sistema de aire exterior</t>
  </si>
  <si>
    <t>C-053</t>
  </si>
  <si>
    <t>Pruebas y arranque del sistema de aire exterior de cuarto limpio</t>
  </si>
  <si>
    <t>C-054</t>
  </si>
  <si>
    <t>Manómetro diferencial para monitoreo de la cascada de presión del cuarto limpio</t>
  </si>
  <si>
    <t>C-055</t>
  </si>
  <si>
    <t>Sistema de control automático del HVAC de cuarto limpio: controladores, sensores de campo, cableado, programación y puesta en marcha</t>
  </si>
  <si>
    <t>C-056</t>
  </si>
  <si>
    <t>Unidad interior multi-split tipo cassette de 4 vías, 2.8 kW frío / 3.3 kW calor, 20 W, 1F 220V 60Hz</t>
  </si>
  <si>
    <t>C-057</t>
  </si>
  <si>
    <t>Unidad interior multi-split tipo cassette de 4 vías, 4.3 kW frío / 4.9 kW calor, 30 W, 1F 220V 60Hz</t>
  </si>
  <si>
    <t>C-058</t>
  </si>
  <si>
    <t>C-059</t>
  </si>
  <si>
    <t>Unidad condensadora multi-split, 33.5 kW frío / 37.5 kW calor, 10.69 kW, 3F 60Hz, sobre base exterior</t>
  </si>
  <si>
    <t>C-060</t>
  </si>
  <si>
    <t>Termostato de pared</t>
  </si>
  <si>
    <t>C-061</t>
  </si>
  <si>
    <t>C-062</t>
  </si>
  <si>
    <t>C-063</t>
  </si>
  <si>
    <t>Tubería de refrigerante, cobre sin costura, diám. 6.4 mm, aislada</t>
  </si>
  <si>
    <t>C-064</t>
  </si>
  <si>
    <t>C-065</t>
  </si>
  <si>
    <t>Tubería de refrigerante, cobre sin costura, diám. 12.7 mm, aislada</t>
  </si>
  <si>
    <t>C-066</t>
  </si>
  <si>
    <t>Tubería de refrigerante, cobre sin costura, diám. 15.9 mm, aislada</t>
  </si>
  <si>
    <t>C-067</t>
  </si>
  <si>
    <t>C-068</t>
  </si>
  <si>
    <t>Tubería de refrigerante, cobre sin costura, diám. 28.6 mm, aislada</t>
  </si>
  <si>
    <t>C-069</t>
  </si>
  <si>
    <t>Tubería de condensados, UPVC, DN20</t>
  </si>
  <si>
    <t>C-070</t>
  </si>
  <si>
    <t>C-071</t>
  </si>
  <si>
    <t>Tubería de condensados, UPVC, DN32</t>
  </si>
  <si>
    <t>C-072</t>
  </si>
  <si>
    <t>Accesorios de tubería para el sistema multi-split de áreas no limpias</t>
  </si>
  <si>
    <t>C-073</t>
  </si>
  <si>
    <t>C-074</t>
  </si>
  <si>
    <t>C-075</t>
  </si>
  <si>
    <t>Soportería metálica, incluye limpieza y pintura</t>
  </si>
  <si>
    <t>C-076</t>
  </si>
  <si>
    <t>Ranurado en piso y muro, barrenos y sellado cortafuego</t>
  </si>
  <si>
    <t>C-077</t>
  </si>
  <si>
    <t>Pruebas y arranque del sistema multi-split de áreas no limpias</t>
  </si>
  <si>
    <t>C-078</t>
  </si>
  <si>
    <t>Recuperador de calor total, 800 m3/h, 175 Pa de presión estática externa, 0.585 kW, 1F 220V 60Hz, montaje en plafón</t>
  </si>
  <si>
    <t>C-079</t>
  </si>
  <si>
    <t>C-080</t>
  </si>
  <si>
    <t>Difusor cuadrado de plafón 250x250 mm</t>
  </si>
  <si>
    <t>C-081</t>
  </si>
  <si>
    <t>Difusor cuadrado de plafón 200x200 mm</t>
  </si>
  <si>
    <t>C-082</t>
  </si>
  <si>
    <t>Rejilla de retorno de una celosía 150x150 mm</t>
  </si>
  <si>
    <t>C-083</t>
  </si>
  <si>
    <t>Rejilla de retorno de una celosía 200x200 mm</t>
  </si>
  <si>
    <t>C-084</t>
  </si>
  <si>
    <t>Celosía a prueba de lluvia 300x300 mm con malla anti-insectos</t>
  </si>
  <si>
    <t>C-085</t>
  </si>
  <si>
    <t>Rejilla de retorno de una celosía 800x500 mm</t>
  </si>
  <si>
    <t>C-086</t>
  </si>
  <si>
    <t>Compuerta de regulación multihoja 160x120 mm</t>
  </si>
  <si>
    <t>C-087</t>
  </si>
  <si>
    <t>Compuerta de regulación multihoja 200x120 mm</t>
  </si>
  <si>
    <t>C-088</t>
  </si>
  <si>
    <t>C-089</t>
  </si>
  <si>
    <t>Compuerta de regulación multihoja 250x160 mm</t>
  </si>
  <si>
    <t>C-090</t>
  </si>
  <si>
    <t>Compuerta motorizada 350x250 mm</t>
  </si>
  <si>
    <t>C-091</t>
  </si>
  <si>
    <t>Compuerta motorizada de hojas opuestas 350x250 mm</t>
  </si>
  <si>
    <t>C-092</t>
  </si>
  <si>
    <t>Ducto de lámina galvanizada para el sistema de aire exterior de áreas no limpias</t>
  </si>
  <si>
    <t>C-093</t>
  </si>
  <si>
    <t>Aislamiento de ducto, espuma elastomérica clase B1, espesor 30 mm</t>
  </si>
  <si>
    <t>C-094</t>
  </si>
  <si>
    <t>C-095</t>
  </si>
  <si>
    <t>C-096</t>
  </si>
  <si>
    <t>C-097</t>
  </si>
  <si>
    <t>Pruebas y arranque del sistema de aire exterior de áreas no limpias</t>
  </si>
  <si>
    <t>C-098</t>
  </si>
  <si>
    <t>Ventilador centrífugo en línea para ducto, 1600 m3/h, 160 Pa, 900 rpm, 0.18 kW, 3F 60Hz</t>
  </si>
  <si>
    <t>C-099</t>
  </si>
  <si>
    <t>Ventilador centrífugo tipo gabinete, 2000 m3/h, 540 Pa, 1600 rpm, 1.1 kW, 3F 60Hz</t>
  </si>
  <si>
    <t>C-100</t>
  </si>
  <si>
    <t>Extractor de baño, 210 m3/h, 190 Pa, 32 W, 1F 220V 60Hz</t>
  </si>
  <si>
    <t>C-101</t>
  </si>
  <si>
    <t>Unidad de filtración de carbón activado para extracción de proceso, 2000 m3/h, 90% de eficiencia de adsorción</t>
  </si>
  <si>
    <t>C-102</t>
  </si>
  <si>
    <t>Compuerta de regulación de hojas opuestas 400x250 mm</t>
  </si>
  <si>
    <t>C-103</t>
  </si>
  <si>
    <t>Celosía de descarga a prueba de lluvia 500x400 mm</t>
  </si>
  <si>
    <t>C-104</t>
  </si>
  <si>
    <t>Sombrerete a prueba de lluvia, diám. 400 mm</t>
  </si>
  <si>
    <t>C-105</t>
  </si>
  <si>
    <t>Ducto de lámina galvanizada para los sistemas de extracción</t>
  </si>
  <si>
    <t>C-106</t>
  </si>
  <si>
    <t>C-107</t>
  </si>
  <si>
    <t>C-108</t>
  </si>
  <si>
    <t>Materiales auxiliares para los sistemas de ventilación</t>
  </si>
  <si>
    <t>C-109</t>
  </si>
  <si>
    <t>C-110</t>
  </si>
  <si>
    <t>Pruebas y arranque de los sistemas de ventilación</t>
  </si>
  <si>
    <t>C-111</t>
  </si>
  <si>
    <t>Desmantelamiento y disposición de ductos, tuberías y equipos de HVAC existentes</t>
  </si>
  <si>
    <t>C TOTAL</t>
  </si>
  <si>
    <t xml:space="preserve">SUBTOTAL SECCIÓN C  —  03 HVAC Y SISTEMAS DE AIRE DE CUARTO LIMPIO     </t>
  </si>
  <si>
    <t>SECCIÓN D  —  04 INSTALACIONES ELÉCTRICAS</t>
  </si>
  <si>
    <t>D-001</t>
  </si>
  <si>
    <t>Transformador seco tipo interior, 200 kVA, primario 3F 480V 60Hz / secundario 380V 60Hz, devanados de aluminio, incluye base y conexiones</t>
  </si>
  <si>
    <t>D-002</t>
  </si>
  <si>
    <t>Adecuación y reconexión de tableros de distribución existentes afectados por el nuevo layout</t>
  </si>
  <si>
    <t>D-003</t>
  </si>
  <si>
    <t>Tablero de distribución 1APZ según diagrama unifilar, montaje en plenum de plafón, incluye interruptores y conexiones</t>
  </si>
  <si>
    <t>D-004</t>
  </si>
  <si>
    <t>Tablero de distribución 1AL1 según diagrama unifilar, montaje sobrepuesto en muro</t>
  </si>
  <si>
    <t>D-005</t>
  </si>
  <si>
    <t>Tablero de distribución 1AP-KT según diagrama unifilar, montaje sobrepuesto en muro</t>
  </si>
  <si>
    <t>D-006</t>
  </si>
  <si>
    <t>Tablero de distribución 2AC-KT1 según diagrama unifilar, montaje sobrepuesto en muro</t>
  </si>
  <si>
    <t>D-007</t>
  </si>
  <si>
    <t>Tablero de distribución 2AC-KT2 según diagrama unifilar, montaje sobrepuesto en muro</t>
  </si>
  <si>
    <t>D-008</t>
  </si>
  <si>
    <t>Tablero de distribución 1AC-PW1 según diagrama unifilar, montaje sobrepuesto en muro</t>
  </si>
  <si>
    <t>D-009</t>
  </si>
  <si>
    <t>Tablero de distribución 1AC-PW2 según diagrama unifilar, montaje sobrepuesto en muro</t>
  </si>
  <si>
    <t>D-010</t>
  </si>
  <si>
    <t>Tablero de distribución 1ALED según diagrama unifilar, montaje sobrepuesto en muro</t>
  </si>
  <si>
    <t>D-011</t>
  </si>
  <si>
    <t>Charola tipo escalera, 400x100x1.5 mm, galvanizada por inmersión en caliente, con puentes de continuidad</t>
  </si>
  <si>
    <t>D-012</t>
  </si>
  <si>
    <t>Charola tipo canal, 200x100x1.2 mm, galvanizada por inmersión en caliente, con puentes de continuidad</t>
  </si>
  <si>
    <t>D-013</t>
  </si>
  <si>
    <t>Charola tipo escalera, 100x50x1.0 mm, galvanizada por inmersión en caliente, con puentes de continuidad</t>
  </si>
  <si>
    <t>D-014</t>
  </si>
  <si>
    <t>Tubo conduit de acero JDG20 (equivalente EMT 3/4"), oculto en plenum de plafón</t>
  </si>
  <si>
    <t>D-015</t>
  </si>
  <si>
    <t>Tubo conduit de acero galvanizado SC15 (equivalente RMC 1/2"), oculto en plenum de plafón</t>
  </si>
  <si>
    <t>D-016</t>
  </si>
  <si>
    <t>Tubo conduit de acero galvanizado SC20 (equivalente RMC 3/4"), oculto en plenum de plafón</t>
  </si>
  <si>
    <t>D-017</t>
  </si>
  <si>
    <t>Tubo conduit de acero galvanizado SC25 (equivalente RMC 1"), oculto en plenum de plafón</t>
  </si>
  <si>
    <t>D-018</t>
  </si>
  <si>
    <t>Tubo conduit de acero galvanizado SC32 (equivalente RMC 1-1/4"), oculto en plenum de plafón</t>
  </si>
  <si>
    <t>D-019</t>
  </si>
  <si>
    <t>Tubo conduit de acero galvanizado SC50 (equivalente RMC 2"), oculto en plenum de plafón</t>
  </si>
  <si>
    <t>D-020</t>
  </si>
  <si>
    <t>Tubo conduit de acero galvanizado SC100 (equivalente RMC 4")</t>
  </si>
  <si>
    <t>D-021</t>
  </si>
  <si>
    <t>Cable de energía de cobre, XLPE libre de halógenos, 4x150+1x70 mm2 - alimentador de acometida al transformador</t>
  </si>
  <si>
    <t>D-022</t>
  </si>
  <si>
    <t>Cable de energía de cobre, XLPE libre de halógenos, 4x120+1x70 mm2</t>
  </si>
  <si>
    <t>D-023</t>
  </si>
  <si>
    <t>Cable de energía de cobre, XLPE libre de halógenos, 4x70+1x35 mm2</t>
  </si>
  <si>
    <t>D-024</t>
  </si>
  <si>
    <t>Cable de energía de cobre, XLPE libre de halógenos, 4x50+1x25 mm2</t>
  </si>
  <si>
    <t>D-025</t>
  </si>
  <si>
    <t>Cable de energía de cobre, XLPE libre de halógenos, 5x16 mm2</t>
  </si>
  <si>
    <t>D-026</t>
  </si>
  <si>
    <t>Cable de energía de cobre, XLPE libre de halógenos, 3x16 mm2</t>
  </si>
  <si>
    <t>D-027</t>
  </si>
  <si>
    <t>Cable de energía de cobre, XLPE libre de halógenos, 5x10 mm2</t>
  </si>
  <si>
    <t>D-028</t>
  </si>
  <si>
    <t>Cable de energía de cobre, XLPE libre de halógenos, 5x6 mm2</t>
  </si>
  <si>
    <t>D-029</t>
  </si>
  <si>
    <t>Cable de energía de cobre, XLPE libre de halógenos, 5x4 mm2</t>
  </si>
  <si>
    <t>D-030</t>
  </si>
  <si>
    <t>Cable de energía de cobre, XLPE libre de halógenos, 3x4 mm2</t>
  </si>
  <si>
    <t>D-031</t>
  </si>
  <si>
    <t>Terminal de cable tipo seco interior, 3 conductores o más, sección hasta 240 mm2, menor a 1 kV</t>
  </si>
  <si>
    <t>D-032</t>
  </si>
  <si>
    <t>Terminal de cable tipo seco interior, 3 conductores o más, sección hasta 120 mm2, menor a 1 kV</t>
  </si>
  <si>
    <t>D-033</t>
  </si>
  <si>
    <t>Terminal de cable tipo seco interior, 3 conductores o más, sección hasta 35 mm2, menor a 1 kV</t>
  </si>
  <si>
    <t>D-034</t>
  </si>
  <si>
    <t>Conductor alojado en tubo o charola, libre de halógenos 2.5 mm2 (circuitos contra incendio)</t>
  </si>
  <si>
    <t>D-035</t>
  </si>
  <si>
    <t>Conductor alojado en tubo o charola, libre de halógenos 4 mm2</t>
  </si>
  <si>
    <t>D-036</t>
  </si>
  <si>
    <t>Conductor alojado en tubo o charola, libre de halógenos 2.5 mm2</t>
  </si>
  <si>
    <t>D-037</t>
  </si>
  <si>
    <t>Conductor alojado en tubo o charola, libre de halógenos 1.5 mm2</t>
  </si>
  <si>
    <t>D-038</t>
  </si>
  <si>
    <t>Cable de control blindado en tubo o charola, 2x2.5 mm2</t>
  </si>
  <si>
    <t>D-039</t>
  </si>
  <si>
    <t>Cable de control blindado en tubo o charola, 2x1.5 mm2</t>
  </si>
  <si>
    <t>D-040</t>
  </si>
  <si>
    <t>Luminario LED tipo panel plano, equivalente T5-LED 3x18W, montaje sobreponer en plafón</t>
  </si>
  <si>
    <t>D-041</t>
  </si>
  <si>
    <t>Luminario LED tipo panel plano 600x600 mm, empotrado</t>
  </si>
  <si>
    <t>D-042</t>
  </si>
  <si>
    <t>Luminario LED tipo panel plano 300x300 mm, empotrado</t>
  </si>
  <si>
    <t>D-043</t>
  </si>
  <si>
    <t>Luminario de emergencia de plafón, LED DC36V 6W, montaje sobreponer</t>
  </si>
  <si>
    <t>D-044</t>
  </si>
  <si>
    <t>Señal luminosa direccional de una cara (derecha), LED DC36V 1W, montaje en muro</t>
  </si>
  <si>
    <t>D-045</t>
  </si>
  <si>
    <t>Señal luminosa direccional de una cara (izquierda), LED DC36V 1W, montaje en muro</t>
  </si>
  <si>
    <t>D-046</t>
  </si>
  <si>
    <t>Señal luminosa de salida de emergencia tipo S, LED DC36V 1W, montaje en muro</t>
  </si>
  <si>
    <t>D-047</t>
  </si>
  <si>
    <t>Señal luminosa de salida tipo E, LED DC36V 1W, montaje en muro</t>
  </si>
  <si>
    <t>D-048</t>
  </si>
  <si>
    <t>Apagador sencillo de un polo, 250V 10A, empotrado</t>
  </si>
  <si>
    <t>D-049</t>
  </si>
  <si>
    <t>Apagador doble de un polo, 250V 10A, empotrado</t>
  </si>
  <si>
    <t>D-050</t>
  </si>
  <si>
    <t>Contacto de seguridad monofásico, 2 + 3 polos, 250V 10A, empotrado</t>
  </si>
  <si>
    <t>D-051</t>
  </si>
  <si>
    <t>Contacto de seguridad monofásico con tapa a prueba de salpicaduras, 250V 10A, empotrado</t>
  </si>
  <si>
    <t>D-052</t>
  </si>
  <si>
    <t>Caja de conexión de acero, tipo 86, montaje sobreponer</t>
  </si>
  <si>
    <t>D-053</t>
  </si>
  <si>
    <t>Caja de equipotencialidad suplementaria SEB, 260x150x120 mm, montaje sobreponer</t>
  </si>
  <si>
    <t>D-054</t>
  </si>
  <si>
    <t>Solera de acero galvanizado para tierra, 25x4 mm, oculta</t>
  </si>
  <si>
    <t>D-055</t>
  </si>
  <si>
    <t>Conductor de puesta a tierra, 4 mm2, alojado en tubo</t>
  </si>
  <si>
    <t>D-056</t>
  </si>
  <si>
    <t>Tubo para conductor de tierra, PC16, oculto</t>
  </si>
  <si>
    <t>D-057</t>
  </si>
  <si>
    <t>Ranurado en piso y muro, barrenos y sellado cortafuego para instalación eléctrica</t>
  </si>
  <si>
    <t>D-058</t>
  </si>
  <si>
    <t>Fabricación e instalación de soportería para charolas y tubería conduit</t>
  </si>
  <si>
    <t>D-059</t>
  </si>
  <si>
    <t>Materiales auxiliares para instalación eléctrica (conectores, zapatas, cinta, etiquetas, consumibles)</t>
  </si>
  <si>
    <t>D-060</t>
  </si>
  <si>
    <t>Limpieza y pintura de soportería metálica: dos manos de primario anticorrosivo y dos manos de esmalte gris</t>
  </si>
  <si>
    <t>D-061</t>
  </si>
  <si>
    <t>Puesta en servicio del sistema de tierras: medición de resistencia y certificación conforme a proyecto</t>
  </si>
  <si>
    <t>D-062</t>
  </si>
  <si>
    <t>Puesta en servicio del sistema de distribución eléctrica, CA menor a 1 kV (integral)</t>
  </si>
  <si>
    <t>D-063</t>
  </si>
  <si>
    <t>Desmantelamiento y disposición de tubería, cableado y equipo eléctrico existente</t>
  </si>
  <si>
    <t>D TOTAL</t>
  </si>
  <si>
    <t xml:space="preserve">SUBTOTAL SECCIÓN D  —  04 INSTALACIONES ELÉCTRICAS     </t>
  </si>
  <si>
    <t>SECCIÓN E  —  05 HIDRÁULICA, AGUA POTABLE Y DRENAJE</t>
  </si>
  <si>
    <t>E-001</t>
  </si>
  <si>
    <t>Inodoro de piso, completo con asiento, alimentación y juego de fijación</t>
  </si>
  <si>
    <t>E-002</t>
  </si>
  <si>
    <t>Mingitorio de pared con fluxómetro de sensor</t>
  </si>
  <si>
    <t>E-003</t>
  </si>
  <si>
    <t>Lavabo bajo cubierta con mezcladora de agua fría y caliente</t>
  </si>
  <si>
    <t>E-004</t>
  </si>
  <si>
    <t>Vertedero de aseo con llave de pared</t>
  </si>
  <si>
    <t>E-005</t>
  </si>
  <si>
    <t>Tubería de agua potable PP-R, De40, oculta en plenum de plafón</t>
  </si>
  <si>
    <t>E-006</t>
  </si>
  <si>
    <t>Tubería de agua potable PP-R, De32, oculta en plenum de plafón</t>
  </si>
  <si>
    <t>E-007</t>
  </si>
  <si>
    <t>Tubería de agua potable PP-R, De25, oculta en plenum de plafón</t>
  </si>
  <si>
    <t>E-008</t>
  </si>
  <si>
    <t>Tubería de agua potable PP-R, De20, oculta en plenum de plafón</t>
  </si>
  <si>
    <t>E-009</t>
  </si>
  <si>
    <t>Tubería de agua potable PP-R, De20, ahogada en muro</t>
  </si>
  <si>
    <t>E-010</t>
  </si>
  <si>
    <t>Tubería de acero galvanizado con recubrimiento epóxico interior, De110, para colector sanitario</t>
  </si>
  <si>
    <t>E-011</t>
  </si>
  <si>
    <t>Tubería de drenaje PVC, De110</t>
  </si>
  <si>
    <t>E-012</t>
  </si>
  <si>
    <t>Tubería de drenaje PVC, De75</t>
  </si>
  <si>
    <t>E-013</t>
  </si>
  <si>
    <t>Tubería de drenaje PVC, De50</t>
  </si>
  <si>
    <t>E-014</t>
  </si>
  <si>
    <t>Accesorios de tubería: codos, tes, reducciones y accesorios para instalación hidrosanitaria</t>
  </si>
  <si>
    <t>E-015</t>
  </si>
  <si>
    <t>Válvula de compuerta de bronce, DN32</t>
  </si>
  <si>
    <t>E-016</t>
  </si>
  <si>
    <t>Válvula de compuerta de bronce, DN25</t>
  </si>
  <si>
    <t>E-017</t>
  </si>
  <si>
    <t>Válvula de compuerta, DN100</t>
  </si>
  <si>
    <t>E-018</t>
  </si>
  <si>
    <t>Válvula de compuerta, DN50</t>
  </si>
  <si>
    <t>E-019</t>
  </si>
  <si>
    <t>Válvula check, DN100</t>
  </si>
  <si>
    <t>E-020</t>
  </si>
  <si>
    <t>Válvula check, DN50</t>
  </si>
  <si>
    <t>E-021</t>
  </si>
  <si>
    <t>Junta flexible de hule, DN100</t>
  </si>
  <si>
    <t>E-022</t>
  </si>
  <si>
    <t>Junta flexible de hule, DN50</t>
  </si>
  <si>
    <t>E-023</t>
  </si>
  <si>
    <t>Manómetro con llave de aislamiento</t>
  </si>
  <si>
    <t>E-024</t>
  </si>
  <si>
    <t>Rompedor de vacío, De20</t>
  </si>
  <si>
    <t>E-025</t>
  </si>
  <si>
    <t>Coladera de piso de acero inoxidable, DN50, con trampa</t>
  </si>
  <si>
    <t>E-026</t>
  </si>
  <si>
    <t>Registro de limpieza, De110</t>
  </si>
  <si>
    <t>E-027</t>
  </si>
  <si>
    <t>E-028</t>
  </si>
  <si>
    <t>Ranurado en muro y reparación para tubería oculta</t>
  </si>
  <si>
    <t>E-029</t>
  </si>
  <si>
    <t>Excavación, relleno y restitución de losa para tubería enterrada</t>
  </si>
  <si>
    <t>E-030</t>
  </si>
  <si>
    <t>Estación de bombeo de aguas residuales integral: 2 bombas, cada una Q=10 m3/h, H=20 m, 2.2 kW, 3F 380V 60Hz, con tablero de control</t>
  </si>
  <si>
    <t>E-031</t>
  </si>
  <si>
    <t>Bomba de aguas residuales, Q=3.6 m3/h, H=20 mca, 0.55 kW, 3F 380V 60Hz, con tablero de control</t>
  </si>
  <si>
    <t>E-032</t>
  </si>
  <si>
    <t>Ranurado en piso y muro, barrenos y sellado cortafuego para instalación hidrosanitaria</t>
  </si>
  <si>
    <t>E-033</t>
  </si>
  <si>
    <t>Materiales auxiliares para instalación hidrosanitaria (selladores, colgantes, empaques, consumibles)</t>
  </si>
  <si>
    <t>E-034</t>
  </si>
  <si>
    <t>Puesta en servicio: prueba de presión, prueba de hermeticidad y lavado del sistema</t>
  </si>
  <si>
    <t>E-035</t>
  </si>
  <si>
    <t>Desmantelamiento y disposición de tubería y equipo hidrosanitario existente</t>
  </si>
  <si>
    <t>E TOTAL</t>
  </si>
  <si>
    <t xml:space="preserve">SUBTOTAL SECCIÓN E  —  05 HIDRÁULICA, AGUA POTABLE Y DRENAJE     </t>
  </si>
  <si>
    <t>SECCIÓN F  —  06 PROTECCIÓN CONTRA INCENDIO Y ALARMA</t>
  </si>
  <si>
    <t>F-001</t>
  </si>
  <si>
    <t>Tubería de acero galvanizado por inmersión en caliente, DN100, sistema de acoplamiento ranurado</t>
  </si>
  <si>
    <t>F-002</t>
  </si>
  <si>
    <t>Tubería de acero galvanizado por inmersión en caliente, DN65, sistema de acoplamiento ranurado</t>
  </si>
  <si>
    <t>F-003</t>
  </si>
  <si>
    <t>Accesorios de tubería: coples, codos, tes y accesorios para el sistema de hidrantes</t>
  </si>
  <si>
    <t>F-004</t>
  </si>
  <si>
    <t>Gabinete de hidrante interior con válvula SN65, pitón de 19 mm, manguera de 25 m con forro de hule y válvula de compuerta DN65</t>
  </si>
  <si>
    <t>F-005</t>
  </si>
  <si>
    <t>Gabinete de extintores completo con dos extintores MT7</t>
  </si>
  <si>
    <t>F-006</t>
  </si>
  <si>
    <t>Válvula de mariposa, DN100, conexión brida ranurada</t>
  </si>
  <si>
    <t>F-007</t>
  </si>
  <si>
    <t>Válvula de mariposa, DN65, conexión brida ranurada</t>
  </si>
  <si>
    <t>F-008</t>
  </si>
  <si>
    <t>Barrenos en muro y reparación para el sistema de hidrantes</t>
  </si>
  <si>
    <t>F-009</t>
  </si>
  <si>
    <t>Fabricación e instalación de soportería metálica, incluye limpieza y pintura</t>
  </si>
  <si>
    <t>F-010</t>
  </si>
  <si>
    <t>F-011</t>
  </si>
  <si>
    <t>Puesta en servicio: prueba de presión, hermeticidad y lavado del sistema de hidrantes</t>
  </si>
  <si>
    <t>F-012</t>
  </si>
  <si>
    <t>Tubería de acero galvanizado por inmersión en caliente, DN150, sistema de acoplamiento ranurado</t>
  </si>
  <si>
    <t>F-013</t>
  </si>
  <si>
    <t>F-014</t>
  </si>
  <si>
    <t>Tubería de acero galvanizado por inmersión en caliente, DN80, sistema de acoplamiento ranurado</t>
  </si>
  <si>
    <t>F-015</t>
  </si>
  <si>
    <t>F-016</t>
  </si>
  <si>
    <t>Tubería de acero galvanizado por inmersión en caliente, DN50, sistema roscado</t>
  </si>
  <si>
    <t>F-017</t>
  </si>
  <si>
    <t>Tubería de acero galvanizado por inmersión en caliente, DN40, sistema roscado</t>
  </si>
  <si>
    <t>F-018</t>
  </si>
  <si>
    <t>Tubería de acero galvanizado por inmersión en caliente, DN32, sistema roscado</t>
  </si>
  <si>
    <t>F-019</t>
  </si>
  <si>
    <t>Tubería de acero galvanizado por inmersión en caliente, DN25, sistema roscado</t>
  </si>
  <si>
    <t>F-020</t>
  </si>
  <si>
    <t>Accesorios de tubería: coples, codos, tes y accesorios para el sistema de rociadores</t>
  </si>
  <si>
    <t>F-021</t>
  </si>
  <si>
    <t>Rociador tipo colgante, K=80 (equivalente K5.6), con chapetón</t>
  </si>
  <si>
    <t>F-022</t>
  </si>
  <si>
    <t>Válvula de mariposa con supervisión (tamper switch), DN150</t>
  </si>
  <si>
    <t>F-023</t>
  </si>
  <si>
    <t>Detector de flujo de agua, DN150</t>
  </si>
  <si>
    <t>F-024</t>
  </si>
  <si>
    <t>Válvula automática de purga de aire, DN25</t>
  </si>
  <si>
    <t>F-025</t>
  </si>
  <si>
    <t>Válvula de prueba y drenaje del inspector, DN25</t>
  </si>
  <si>
    <t>F-026</t>
  </si>
  <si>
    <t>Barrenos en muro y reparación para el sistema de rociadores</t>
  </si>
  <si>
    <t>F-027</t>
  </si>
  <si>
    <t>Fabricación e instalación de soportería, colgantes y arriostramiento sísmico, incluye limpieza y pintura</t>
  </si>
  <si>
    <t>F-028</t>
  </si>
  <si>
    <t>F-029</t>
  </si>
  <si>
    <t>Puesta en servicio: prueba hidrostática, hermeticidad y lavado del sistema de rociadores</t>
  </si>
  <si>
    <t>F-030</t>
  </si>
  <si>
    <t>Panel repetidor y de control de alarma contra incendio, montaje en piso</t>
  </si>
  <si>
    <t>F-031</t>
  </si>
  <si>
    <t>Aislador de cortocircuito de lazo, montaje en plafón</t>
  </si>
  <si>
    <t>F-032</t>
  </si>
  <si>
    <t>Detector de humo fotoeléctrico direccionable puntual, montaje en plafón</t>
  </si>
  <si>
    <t>F-033</t>
  </si>
  <si>
    <t>Bocina de alarma contra incendio, 3 W, montaje en plafón</t>
  </si>
  <si>
    <t>F-034</t>
  </si>
  <si>
    <t>Jack de teléfono de bomberos, empotrado</t>
  </si>
  <si>
    <t>F-035</t>
  </si>
  <si>
    <t>Dispositivo de alarma audible y visual, empotrado</t>
  </si>
  <si>
    <t>F-036</t>
  </si>
  <si>
    <t>Estación manual de alarma, empotrada</t>
  </si>
  <si>
    <t>F-037</t>
  </si>
  <si>
    <t>Botón de llamada de hidrante, montado dentro del gabinete</t>
  </si>
  <si>
    <t>F-038</t>
  </si>
  <si>
    <t>Módulo direccionable de entrada/salida, en gabinete de módulos</t>
  </si>
  <si>
    <t>F-039</t>
  </si>
  <si>
    <t>Módulo direccionable de salida, en gabinete de módulos</t>
  </si>
  <si>
    <t>F-040</t>
  </si>
  <si>
    <t>Módulo direccionable de entrada, en gabinete de módulos</t>
  </si>
  <si>
    <t>F-041</t>
  </si>
  <si>
    <t>Cable resistente al fuego en tubo o charola, 2x1.5 mm2</t>
  </si>
  <si>
    <t>F-042</t>
  </si>
  <si>
    <t>Conductor libre de halógenos en tubo o charola, 2.5 mm2</t>
  </si>
  <si>
    <t>F-043</t>
  </si>
  <si>
    <t>Tubo conduit de acero galvanizado SC20, oculto en plenum de plafón</t>
  </si>
  <si>
    <t>F-044</t>
  </si>
  <si>
    <t>Tubo conduit de acero galvanizado SC25, oculto en plenum de plafón</t>
  </si>
  <si>
    <t>F-045</t>
  </si>
  <si>
    <t>F-046</t>
  </si>
  <si>
    <t>Ranurado en piso y muro, barrenos y sellado cortafuego para alarma contra incendio</t>
  </si>
  <si>
    <t>F-047</t>
  </si>
  <si>
    <t>Fabricación e instalación de soportería para charola y tubería conduit</t>
  </si>
  <si>
    <t>F-048</t>
  </si>
  <si>
    <t>Limpieza y pintura de soportería: dos manos de primario y dos manos de esmalte</t>
  </si>
  <si>
    <t>F-049</t>
  </si>
  <si>
    <t>Programación, verificación punto a punto y puesta en servicio del sistema de alarma</t>
  </si>
  <si>
    <t>F-050</t>
  </si>
  <si>
    <t>Materiales auxiliares para alarma contra incendio (conectores, etiquetas, terminaciones, consumibles)</t>
  </si>
  <si>
    <t>F-051</t>
  </si>
  <si>
    <t>Desmantelamiento y disposición de tubería y dispositivos de protección contra incendio existentes</t>
  </si>
  <si>
    <t>F TOTAL</t>
  </si>
  <si>
    <t xml:space="preserve">SUBTOTAL SECCIÓN F  —  06 PROTECCIÓN CONTRA INCENDIO Y ALARMA     </t>
  </si>
  <si>
    <t>SECCIÓN G  —  07 SISTEMAS DE TI, CCTV Y CONTROL DE ACCESO</t>
  </si>
  <si>
    <t>G-001</t>
  </si>
  <si>
    <t>Cámara de red tipo bala infrarroja de interior, 4 MP o superior, WDR, entrada de audio, DC12V y PoE, con soporte de montaje</t>
  </si>
  <si>
    <t>G-002</t>
  </si>
  <si>
    <t>Charola tipo canal, 200x100 mm, para sistemas de baja tensión</t>
  </si>
  <si>
    <t>G-003</t>
  </si>
  <si>
    <t>Cable de red categoría 6, CAT.6</t>
  </si>
  <si>
    <t>G-004</t>
  </si>
  <si>
    <t>Tubo conduit de acero JDG25 (equivalente EMT 1")</t>
  </si>
  <si>
    <t>G-005</t>
  </si>
  <si>
    <t>Caja de conexión, tipo 86</t>
  </si>
  <si>
    <t>G-006</t>
  </si>
  <si>
    <t>Barrenos en muro y sellado cortafuego para circuito cerrado de televisión</t>
  </si>
  <si>
    <t>G-007</t>
  </si>
  <si>
    <t>G-008</t>
  </si>
  <si>
    <t>Configuración de CCTV, integración con el NVR/servidor existente y puesta en servicio</t>
  </si>
  <si>
    <t>G-009</t>
  </si>
  <si>
    <t>Terminal de control de acceso con reconocimiento facial</t>
  </si>
  <si>
    <t>G-010</t>
  </si>
  <si>
    <t>Fuente de poder conmutada para puerta de control de acceso</t>
  </si>
  <si>
    <t>G-011</t>
  </si>
  <si>
    <t>Chapa magnética para puerta sencilla, incluye soporte de montaje</t>
  </si>
  <si>
    <t>G-012</t>
  </si>
  <si>
    <t>Chapa magnética para puerta doble, incluye soporte de montaje</t>
  </si>
  <si>
    <t>G-013</t>
  </si>
  <si>
    <t>Botón de salida</t>
  </si>
  <si>
    <t>G-014</t>
  </si>
  <si>
    <t>Cable de fuerza blindado, RVVP 6x1.0 mm2</t>
  </si>
  <si>
    <t>G-015</t>
  </si>
  <si>
    <t>Cable de fuerza, RVV 4x1.0 mm2</t>
  </si>
  <si>
    <t>G-016</t>
  </si>
  <si>
    <t>Cable de fuerza, RVV 2x1.0 mm2</t>
  </si>
  <si>
    <t>G-017</t>
  </si>
  <si>
    <t>Tubo conduit de acero JDG20 (equivalente EMT 3/4")</t>
  </si>
  <si>
    <t>G-018</t>
  </si>
  <si>
    <t>G-019</t>
  </si>
  <si>
    <t>Materiales auxiliares para control de acceso</t>
  </si>
  <si>
    <t>G-020</t>
  </si>
  <si>
    <t>Configuración del control de acceso, integración con el servidor y enrolador existentes, y puesta en servicio</t>
  </si>
  <si>
    <t>G TOTAL</t>
  </si>
  <si>
    <t xml:space="preserve">SUBTOTAL SECCIÓN G  —  07 SISTEMAS DE TI, CCTV Y CONTROL DE ACCESO     </t>
  </si>
  <si>
    <t>SECCIÓN H  —  08 DISTRIBUCIÓN DE AIRE COMPRIMIDO</t>
  </si>
  <si>
    <t>H-001</t>
  </si>
  <si>
    <t>Tubería de aire comprimido en acero inoxidable SUS304, DN50, únicamente cabezal principal</t>
  </si>
  <si>
    <t>H-002</t>
  </si>
  <si>
    <t>Tubería de aire comprimido en acero inoxidable SUS304, DN20, bajada a válvula preinstalada (0.8 m por bajada)</t>
  </si>
  <si>
    <t>H-003</t>
  </si>
  <si>
    <t>Accesorios de tubería: codos, tes y accesorios para el cabezal de aire comprimido</t>
  </si>
  <si>
    <t>H-004</t>
  </si>
  <si>
    <t>Válvula de corte manual, DN20, preinstalada en el cabezal principal para conexión futura de ramales</t>
  </si>
  <si>
    <t>H-005</t>
  </si>
  <si>
    <t>H-006</t>
  </si>
  <si>
    <t>Barrenos en muro y sellado cortafuego para aire comprimido</t>
  </si>
  <si>
    <t>H-007</t>
  </si>
  <si>
    <t>Materiales auxiliares para aire comprimido</t>
  </si>
  <si>
    <t>H-008</t>
  </si>
  <si>
    <t>Puesta en servicio: prueba de presión, hermeticidad y purga de líneas</t>
  </si>
  <si>
    <t>H TOTAL</t>
  </si>
  <si>
    <t xml:space="preserve">SUBTOTAL SECCIÓN H  —  08 DISTRIBUCIÓN DE AIRE COMPRIMIDO     </t>
  </si>
  <si>
    <t>TOTAL</t>
  </si>
  <si>
    <t xml:space="preserve">COSTO DIRECTO TOTAL — TODAS LAS DISCIPLINAS     </t>
  </si>
  <si>
    <t>6. RESUMEN DE COSTOS  —  TODAS LAS CIFRAS EN USD</t>
  </si>
  <si>
    <t>CONCEPTO</t>
  </si>
  <si>
    <t>TASA</t>
  </si>
  <si>
    <t>IMPORTE (USD)</t>
  </si>
  <si>
    <t>BASE DE CÁLCULO</t>
  </si>
  <si>
    <t>A. 01 PRELIMINARES Y MEDIDAS DE CONSTRUCCIÓN</t>
  </si>
  <si>
    <t>Suma de partidas cotizadas, hoja 5</t>
  </si>
  <si>
    <t>B. 02 ARQUITECTÓNICO, ESTRUCTURA Y ACABADOS</t>
  </si>
  <si>
    <t>C. 03 HVAC Y SISTEMAS DE AIRE DE CUARTO LIMPIO</t>
  </si>
  <si>
    <t>D. 04 INSTALACIONES ELÉCTRICAS</t>
  </si>
  <si>
    <t>E. 05 HIDRÁULICA, AGUA POTABLE Y DRENAJE</t>
  </si>
  <si>
    <t>F. 06 PROTECCIÓN CONTRA INCENDIO Y ALARMA</t>
  </si>
  <si>
    <t>G. 07 SISTEMAS DE TI, CCTV Y CONTROL DE ACCESO</t>
  </si>
  <si>
    <t>H. 08 DISTRIBUCIÓN DE AIRE COMPRIMIDO</t>
  </si>
  <si>
    <t>A. COSTO DIRECTO TOTAL</t>
  </si>
  <si>
    <t>Material más instalación, las 341 partidas, puesto en obra e instalado</t>
  </si>
  <si>
    <t>B. COSTO INDIRECTO (oficina central, fianzas, financiamiento)</t>
  </si>
  <si>
    <t>8% sobre el costo directo. Los indirectos de campo (supervisión, seguros, instalaciones provisionales, servicios) ya están cotizados en la Sección A, por lo que esta tasa cubre únicamente oficina central y evita duplicidad.</t>
  </si>
  <si>
    <t>C. SUBTOTAL (directo + indirecto)</t>
  </si>
  <si>
    <t>D. UTILIDAD DEL CONTRATISTA</t>
  </si>
  <si>
    <t>10% sobre el subtotal anterior, estándar para obra industrial llave en mano de esta escala en Baja California.</t>
  </si>
  <si>
    <t>E. SUBTOTAL (directo + indirecto + utilidad)</t>
  </si>
  <si>
    <t>F. CONTINGENCIA</t>
  </si>
  <si>
    <t>3% sobre el subtotal anterior. Cubre variación de cantidades al verificar contra planos IFC y condiciones imprevistas menores del edificio existente. La contingencia no ejercida se devuelve al cliente en el finiquito.</t>
  </si>
  <si>
    <t>G. TOTAL ANTES DE IVA</t>
  </si>
  <si>
    <t>Precio contractual sin impuesto</t>
  </si>
  <si>
    <t>H. IVA</t>
  </si>
  <si>
    <t>8% conforme al estímulo fiscal de la Región Fronteriza Norte para Baja California</t>
  </si>
  <si>
    <t>I. PRECIO TOTAL DEL CONTRATO (IVA incluido)</t>
  </si>
  <si>
    <t>DESGLOSE MATERIAL / INSTALACIÓN</t>
  </si>
  <si>
    <t>Procura de material y equipo</t>
  </si>
  <si>
    <t>Columna D x columna E, hoja 5</t>
  </si>
  <si>
    <t>Trabajos de construcción e instalación</t>
  </si>
  <si>
    <t>Columna D x columna F, hoja 5</t>
  </si>
  <si>
    <t>7. CONDICIONES COMERCIALES</t>
  </si>
  <si>
    <t>7.1  ESQUEMA DE PAGOS</t>
  </si>
  <si>
    <t>HITO</t>
  </si>
  <si>
    <t>% DEL PRECIO</t>
  </si>
  <si>
    <t>CONDICIÓN DE LIBERACIÓN</t>
  </si>
  <si>
    <t>Anticipo a la firma del contrato  (semana 1)</t>
  </si>
  <si>
    <t>Contrato u orden de compra firmada, factura y fianza de anticipo si aplica</t>
  </si>
  <si>
    <t>Estimación 1 - estructura y muros  (semana 7)</t>
  </si>
  <si>
    <t>Avance certificado, factura y reporte fotográfico</t>
  </si>
  <si>
    <t>Estimación 2 - instalación gruesa MEP terminada  (semana 13)</t>
  </si>
  <si>
    <t>Avance certificado, factura y liberación de inspección de instalación gruesa</t>
  </si>
  <si>
    <t>Estimación 3 - acabados y equipos colocados  (semana 18)</t>
  </si>
  <si>
    <t>Avance certificado, factura y reportes de pruebas</t>
  </si>
  <si>
    <t>Finiquito contra entrega y aceptación  (semana 24)</t>
  </si>
  <si>
    <t>Acta de entrega-recepción, dossier de cierre y factura</t>
  </si>
  <si>
    <t xml:space="preserve">TOTAL     </t>
  </si>
  <si>
    <t>7.2  VIGENCIA DE LA OFERTA Y MONEDA</t>
  </si>
  <si>
    <t>•  Vigencia: 30 días naturales a partir del 10 de septiembre de 2026. Después de esa fecha los precios quedan sujetos a revisión contra las cotizaciones de proveedor vigentes.</t>
  </si>
  <si>
    <t>•  Moneda: dólares americanos (USD). Todos los pagos se realizan en USD. Cuando se requiere tipo de cambio de referencia para insumos en pesos, se utilizó 17.00 MXN/USD, que se reconsidera a la firma del contrato.</t>
  </si>
  <si>
    <t>•  Los precios son unitarios, firmes durante la vigencia, e incluyen material, mano de obra, equipo, herramienta, transporte, supervisión e indirectos de campo, puesto en obra e instalado.</t>
  </si>
  <si>
    <t>•  Aplica IVA del 8% conforme al estímulo fiscal de la Región Fronteriza Norte para Baja California y se muestra por separado en el resumen de costos.</t>
  </si>
  <si>
    <t>7.3  ANTICIPO Y ESTIMACIONES</t>
  </si>
  <si>
    <t>•  Anticipo: 30% del precio del contrato a la firma, contra factura y, si el cliente lo requiere, fianza de anticipo emitida por afianzadora mexicana.</t>
  </si>
  <si>
    <t>•  El anticipo se amortiza proporcionalmente en cada estimación de avance posterior.</t>
  </si>
  <si>
    <t>•  Las estimaciones de avance se presentan mensualmente, certificadas de manera conjunta por el representante del cliente y el superintendente de EMP, soportadas con cantidades medidas y reporte fotográfico.</t>
  </si>
  <si>
    <t>•  Plazo de pago: 7 días hábiles a partir de la aceptación de la estimación certificada y la recepción de factura válida. Finiquito: 10 días hábiles.</t>
  </si>
  <si>
    <t>•  Retención: el cliente puede retener 5% de cada estimación, liberable contra el acta de entrega-recepción, o sustituirla por fianza de cumplimiento de valor equivalente.</t>
  </si>
  <si>
    <t>7.4  GARANTÍAS</t>
  </si>
  <si>
    <t>•  Mano de obra y materiales: 12 meses a partir de la fecha de terminación sustancial.</t>
  </si>
  <si>
    <t>•  Equipo principal (unidades condensadoras HVAC, manejadoras, bombas, transformador, tableros): 24 meses, o la garantía del fabricante cuando sea mayor, transferida al cliente.</t>
  </si>
  <si>
    <t>•  Envolvente de cuarto limpio: 12 meses sobre la integridad de juntas de panel y el desempeño de la cascada de presión, sujeto a que el cliente opere los sistemas dentro de los parámetros de diseño.</t>
  </si>
  <si>
    <t>•  Atención de garantías: 24 a 48 horas para fallas críticas que afecten la producción; 5 días hábiles para asuntos no críticos.</t>
  </si>
  <si>
    <t>•  La garantía excluye daños por mal uso, modificación no autorizada, falta de mantenimiento programado u operación fuera de las condiciones de diseño.</t>
  </si>
  <si>
    <t>7.5  TIEMPO DE EJECUCIÓN Y PROGRAMA</t>
  </si>
  <si>
    <t>•  Plazo de ejecución: 24 semanas a partir de la recepción del anticipo y del otorgamiento de acceso al sitio, lo que ocurra al último.</t>
  </si>
  <si>
    <t>•  El programa de la hoja 8 muestra la ruta crítica y los hitos de pago. La procura de equipo de largo plazo es la restricción determinante en las primeras diez semanas.</t>
  </si>
  <si>
    <t>•  Los atrasos imputables al cliente (acceso, decisiones, equipo suministrado por el cliente, permisos) extienden el programa día por día, sin impacto en costo durante los primeros 15 días hábiles acumulados.</t>
  </si>
  <si>
    <t>•  La pena convencional, en caso de pactarse, se limita al 5% del precio del contrato y aplica únicamente al atraso imputable a EMP.</t>
  </si>
  <si>
    <t>•  La adopción de las medidas de Ingeniería de Valor de la hoja 9 reduce el programa a 20 semanas, según se detalla en la hoja 10.</t>
  </si>
  <si>
    <t>7.6  CALIDAD, SEGURIDAD Y CIERRE</t>
  </si>
  <si>
    <t>•  Control de calidad bajo un plan de inspección y pruebas acordado con el cliente antes de la movilización, con puntos de detención en estructura, instalación gruesa, envolvente y puesta en servicio.</t>
  </si>
  <si>
    <t>•  Gestión de seguridad conforme a NOM-002-STPS y al reglamento de planta del cliente, con coordinador de seguridad dedicado en sitio durante todo el plazo.</t>
  </si>
  <si>
    <t>•  Dossier de cierre: planos as-built, manuales de equipo, certificados de garantía, reportes de pruebas y balanceo, resultados de calidad de aire interior y visto bueno de protección contra incendio.</t>
  </si>
  <si>
    <t>•  La entrega incluye una sesión de capacitación al personal de mantenimiento del cliente sobre los sistemas de HVAC, control y protección contra incendio.</t>
  </si>
  <si>
    <t>Atentamente,</t>
  </si>
  <si>
    <t>Lestral Constructora / Electromecánica del Pacífico (EMP)  —  Responsable técnico y punto único de contacto</t>
  </si>
  <si>
    <t>8. PROGRAMA DE OBRA  —  GANTT SEMANAL CON RUTA CRÍTICA E HITOS</t>
  </si>
  <si>
    <t>Duración 24 semanas a partir del anticipo.  Simbología:  ■ ruta crítica   ■ actividad no crítica   ◆ hito   ▲ hito de pago</t>
  </si>
  <si>
    <t>#</t>
  </si>
  <si>
    <t>ACTIVIDAD</t>
  </si>
  <si>
    <t>RUTA</t>
  </si>
  <si>
    <t>Adjudicación, movilización y entrega de submittals</t>
  </si>
  <si>
    <t>RC</t>
  </si>
  <si>
    <t>Procura de equipo de largo plazo (VRF, UMA de expansión directa, tableros, transformador)</t>
  </si>
  <si>
    <t>Planos de taller y adecuación normativa NOM</t>
  </si>
  <si>
    <t>Demolición y desmantelamiento de instalaciones existentes</t>
  </si>
  <si>
    <t>Ranurado en muro y piso, barrenos</t>
  </si>
  <si>
    <t>—</t>
  </si>
  <si>
    <t>Fabricación en taller de estructura metálica</t>
  </si>
  <si>
    <t>Montaje de estructura metálica</t>
  </si>
  <si>
    <t>Muros de block y albañilería</t>
  </si>
  <si>
    <t>Instalación gruesa de ductos HVAC</t>
  </si>
  <si>
    <t>Tubería de refrigerante y condensados</t>
  </si>
  <si>
    <t>Instalación gruesa de charola, conduit y cableado</t>
  </si>
  <si>
    <t>Tubería de rociadores e hidrantes</t>
  </si>
  <si>
    <t>Tubería hidrosanitaria y de aire comprimido</t>
  </si>
  <si>
    <t>Montaje de muro de panel de cuarto limpio</t>
  </si>
  <si>
    <t>Montaje de plafón de panel de cuarto limpio</t>
  </si>
  <si>
    <t>Colocación y conexión de equipos HVAC</t>
  </si>
  <si>
    <t>Tableros, transformador y conexiones</t>
  </si>
  <si>
    <t>Puertas, ventanas de observación y herrajes</t>
  </si>
  <si>
    <t>Azulejo, acabados de baños y mamparas</t>
  </si>
  <si>
    <t>Piso epóxico ESD y estándar</t>
  </si>
  <si>
    <t>Dispositivos y programación de alarma contra incendio</t>
  </si>
  <si>
    <t>Alumbrado, dispositivos, CCTV y control de acceso</t>
  </si>
  <si>
    <t>Pruebas de presión, hermeticidad y lavado</t>
  </si>
  <si>
    <t>Puesta en servicio y balanceo de aire y agua</t>
  </si>
  <si>
    <t>Calificación de cuarto limpio y pruebas de calidad de aire interior</t>
  </si>
  <si>
    <t>Lista de detalles, limpieza fina, as-builts y entrega</t>
  </si>
  <si>
    <t>HITOS DEL PROYECTO</t>
  </si>
  <si>
    <t>H1 Adjudicación y anticipo</t>
  </si>
  <si>
    <t>◆</t>
  </si>
  <si>
    <t>H2 Planos de taller aprobados</t>
  </si>
  <si>
    <t>H3 Estructura y muros terminados</t>
  </si>
  <si>
    <t>H4 Instalación gruesa MEP terminada</t>
  </si>
  <si>
    <t>H5 Energización y arranque de equipos</t>
  </si>
  <si>
    <t>H6 Puesta en servicio terminada</t>
  </si>
  <si>
    <t>H7 Terminación sustancial y entrega</t>
  </si>
  <si>
    <t>HITOS DE PAGO</t>
  </si>
  <si>
    <t>Anticipo a la firma del contrato  (30%)</t>
  </si>
  <si>
    <t>▲</t>
  </si>
  <si>
    <t>Estimación 1 - estructura y muros  (20%)</t>
  </si>
  <si>
    <t>Estimación 2 - instalación gruesa MEP terminada  (25%)</t>
  </si>
  <si>
    <t>Estimación 3 - acabados y equipos colocados  (15%)</t>
  </si>
  <si>
    <t>Finiquito contra entrega y aceptación  (10%)</t>
  </si>
  <si>
    <t>Ruta crítica: adjudicación y movilización → procura de equipo de largo plazo → planos de taller y adecuación NOM → demolición → montaje de estructura → instalación gruesa de ductos HVAC → muro de panel de cuarto limpio → plafón de panel de cuarto limpio → colocación de equipos HVAC → piso epóxico → puesta en servicio y balanceo → calificación de cuarto limpio → entrega. La procura de la condensadora de 123.5 kW, la manejadora de expansión directa y el transformador de 200 kVA gobierna las primeras diez semanas; las medidas de Ingeniería de Valor de la hoja 9 sacan de esa ruta crítica al transformador y a los materiales de consumo importados.</t>
  </si>
  <si>
    <t>9. INGENIERÍA DE VALOR PROPUESTA POR EMP</t>
  </si>
  <si>
    <t>La cotización base cotiza el proyecto ejecutivo exactamente como está diseñado. Las alternativas siguientes son propuestas de EMP; ninguna se aplicó al precio base. Cada una se cuantifica por separado para que el cliente la acepte o rechace por sus propios méritos. Los ahorros se calculan sobre las partidas afectadas de la hoja 5.</t>
  </si>
  <si>
    <t>9.1  ALTERNATIVAS DE REDUCCIÓN DE COSTO</t>
  </si>
  <si>
    <t>REF</t>
  </si>
  <si>
    <t>ALTERNATIVA</t>
  </si>
  <si>
    <t>IMPACTO EN PLAZO</t>
  </si>
  <si>
    <t>AHORRO ESTIMADO (USD)</t>
  </si>
  <si>
    <t>IMPACTO EN DESEMPEÑO</t>
  </si>
  <si>
    <t>VE-01</t>
  </si>
  <si>
    <t>Reespecificar equipos y tableros a 480/277-220 V, 60 Hz (NEMA/NOM) y eliminar el transformador de 200 kVA 480/380 V</t>
  </si>
  <si>
    <t>-2 semanas</t>
  </si>
  <si>
    <t>Cumplimiento nativo de NOM-001-SEDE; elimina ~2% de pérdidas por transformación y un punto único de falla; refacciones locales en vez de importadas</t>
  </si>
  <si>
    <t>VE-02</t>
  </si>
  <si>
    <t>Sustituir canalización, conductor y tubería hidráulica de norma GB por equivalentes norteamericanos (JDG/SC a EMT/RMC, cable GB a THHN/XHHW, PP-R a CPVC)</t>
  </si>
  <si>
    <t>-4 semanas</t>
  </si>
  <si>
    <t>Desempeño igual o superior, con listado UL y certificación NOM; elimina 8-12 semanas de importación y la exposición aduanal en materiales de consumo</t>
  </si>
  <si>
    <t>VE-03</t>
  </si>
  <si>
    <t>Convertir el diseño contra incendio GB a cálculo hidráulico NFPA 13 / NFPA 14 con rociadores K5.6 y una sola columna combinada para rociadores e hidrantes</t>
  </si>
  <si>
    <t>-1 semanas</t>
  </si>
  <si>
    <t>Diseño asegurable (FM/NFPA) aceptado por la autoridad mexicana y por la aseguradora de la planta; elimina el riesgo de reinspección y retrabajo de una entrega solo GB</t>
  </si>
  <si>
    <t>VE-04</t>
  </si>
  <si>
    <t>Limitar el plafón sándwich transitable de cuarto limpio a las áreas clasificadas; plafón suspendido estándar en oficinas, vestidor y áreas de apoyo</t>
  </si>
  <si>
    <t>Sin efecto en la clasificación ISO: las áreas afectadas están fuera de la envolvente clasificada y no tienen requisito de cascada de presión</t>
  </si>
  <si>
    <t>VE-05</t>
  </si>
  <si>
    <t>Aplicar epóxico ESD únicamente en las áreas con requisito electrostático declarado; epóxico estándar en el resto</t>
  </si>
  <si>
    <t>neutro</t>
  </si>
  <si>
    <t>Requiere confirmación por escrito del límite de la zona ESD por parte del cliente; el desempeño ESD no cambia dentro de la zona declarada</t>
  </si>
  <si>
    <t>VE-06</t>
  </si>
  <si>
    <t>Utilizar ducto de panel fenólico preaislado en los tramos de aire exterior y extracción no clasificados, en vez de ducto galvanizado con aislamiento exterior</t>
  </si>
  <si>
    <t>Menor clase de fuga y mejor desempeño térmico; se fabrica en sitio, lo que saca la cola del taller de lámina de la ruta crítica</t>
  </si>
  <si>
    <t>VE-07</t>
  </si>
  <si>
    <t>Liberar la provisión de trabajo nocturno y aceleración a cambio de acceso al sitio 24 horas y frente de trabajo libre</t>
  </si>
  <si>
    <t>Requiere que el cliente otorgue acceso sin restricción; si el acceso permanece limitado a un turno, la provisión debe restituirse</t>
  </si>
  <si>
    <t>Σ</t>
  </si>
  <si>
    <t xml:space="preserve">AHORRO TOTAL IDENTIFICADO SOBRE COSTO DIRECTO     </t>
  </si>
  <si>
    <t>9.2  ALTERNATIVAS DE DESEMPEÑO (costo de capital adicional, reducción de costo de operación)</t>
  </si>
  <si>
    <t>CAPEX ADICIONAL (USD)</t>
  </si>
  <si>
    <t>AHORRO ANUAL DE OPERACIÓN (USD)</t>
  </si>
  <si>
    <t>VE-08</t>
  </si>
  <si>
    <t>Banco VRF con recuperación de calor en lugar de dos unidades condensadoras independientes</t>
  </si>
  <si>
    <t>Transfiere calor entre zonas que piden frío y calor de forma simultánea; retorno aproximado de 1.3 años</t>
  </si>
  <si>
    <t>VE-09</t>
  </si>
  <si>
    <t>Rueda entálpica de recuperación en la unidad de aire exterior de 2,500 m3/h</t>
  </si>
  <si>
    <t>Recupera aproximadamente el 65% de la carga entálpica de aire exterior; retorno aproximado de 1.3 años y reduce la demanda pico</t>
  </si>
  <si>
    <t>VE-10</t>
  </si>
  <si>
    <t>Control de atenuación 0-10 V y sensores de ocupación en el alumbrado de áreas no clasificadas</t>
  </si>
  <si>
    <t>Sin impacto de costo de capital si se especifica desde la compra; reduce el consumo de alumbrado aproximadamente 35% en áreas de ocupación intermitente</t>
  </si>
  <si>
    <t>Recomendación de EMP: VE-01, VE-02 y VE-03 deben tratarse como asuntos de cumplimiento y no como ahorros opcionales. La tensión de distribución de 380 V no existe en la red mexicana, y el diseño contra incendio GB no es la base sobre la cual la autoridad local o la aseguradora de planta aprobarán la instalación. Adoptar las tres en conjunto saca de la ruta crítica al transformador, a los materiales de consumo importados y al riesgo de reingreso de trámite, y es el mayor contribuyente individual tanto a la reducción de costo como a la de plazo que se muestra en la hoja 10.</t>
  </si>
  <si>
    <t>10. COMPARATIVO DE ESCENARIOS  —  ESCENARIO BASE VS ESCENARIO OPTIMIZADO</t>
  </si>
  <si>
    <t>Escenario base: el proyecto ejecutivo cotizado exactamente como está diseñado. Escenario optimizado: el escenario base con las siete alternativas de reducción de costo de la hoja 9.1 adoptadas.</t>
  </si>
  <si>
    <t>ESCENARIO BASE</t>
  </si>
  <si>
    <t>ESCENARIO OPTIMIZADO</t>
  </si>
  <si>
    <t>DIFERENCIA</t>
  </si>
  <si>
    <t>Costo directo</t>
  </si>
  <si>
    <t>Costo indirecto (8%)</t>
  </si>
  <si>
    <t>Utilidad (10%)</t>
  </si>
  <si>
    <t>Contingencia (3%)</t>
  </si>
  <si>
    <t>TOTAL ANTES DE IVA</t>
  </si>
  <si>
    <t>IVA 8%</t>
  </si>
  <si>
    <t>PRECIO TOTAL DEL CONTRATO</t>
  </si>
  <si>
    <t>Ahorro como % del precio del contrato</t>
  </si>
  <si>
    <t>Plazo de construcción (semanas)</t>
  </si>
  <si>
    <t>Ahorro anual de operación (si se adopta 9.2)</t>
  </si>
  <si>
    <t>BENEFICIOS DEL ESCENARIO OPTIMIZADO</t>
  </si>
  <si>
    <t>•  Los equipos operan a una tensión de distribución que sí existe en México, por lo que refacciones, servicio y ampliaciones futuras se consiguen localmente en vez de importarse.</t>
  </si>
  <si>
    <t>•  El transformador de 200 kVA desaparece del cuarto eléctrico, junto con sus pérdidas permanentes, su espacio ocupado y sus 10 a 12 semanas de entrega.</t>
  </si>
  <si>
    <t>•  Los materiales de consumo (tubería conduit, conductor, tubería hidráulica) pasan a tener listado UL y certificación NOM, lo que saca de la ruta crítica la exposición aduanal y de tiempo de entrega.</t>
  </si>
  <si>
    <t>•  El sistema de protección contra incendio se vuelve asegurable en base NFPA, que es lo que en realidad revisarán tanto la autoridad mexicana como la aseguradora de planta.</t>
  </si>
  <si>
    <t>•  Se recuperan cuatro semanas de la ruta crítica, lo que adelanta el arranque de producción aproximadamente un mes.</t>
  </si>
  <si>
    <t>•  La clasificación del cuarto limpio, la cascada de presión, los cambios de aire por hora y el desempeño ESD dentro de la zona declarada no cambian en ningún aspecto.</t>
  </si>
  <si>
    <t>11. RESUMEN DE COSTOS MAPEADO AL FORMATO DEL BOQ DEL CLIENTE (hoja 01.Summary)</t>
  </si>
  <si>
    <t>El mismo precio, presentado en la estructura de resumen del propio cliente para que ambos documentos se concilien línea por línea.</t>
  </si>
  <si>
    <t>No.</t>
  </si>
  <si>
    <t>DESCRIPCIÓN DE LA PARTIDA</t>
  </si>
  <si>
    <t>CONSTRUCCIÓN E INSTALACIÓN (USD)</t>
  </si>
  <si>
    <t>PROCURA DE EQUIPO (USD)</t>
  </si>
  <si>
    <t>COSTO TOTAL (USD)</t>
  </si>
  <si>
    <t>Costo de medidas de construcción</t>
  </si>
  <si>
    <t>Arquitectónico y acabados</t>
  </si>
  <si>
    <t>Obra de HVAC</t>
  </si>
  <si>
    <t>Obra hidrosanitaria</t>
  </si>
  <si>
    <t>Obra de protección contra incendio</t>
  </si>
  <si>
    <t>Obra eléctrica</t>
  </si>
  <si>
    <t>Obra de baja tensión</t>
  </si>
  <si>
    <t>Obra de aire comprimido</t>
  </si>
  <si>
    <t>Flete y logística</t>
  </si>
  <si>
    <t>Incluido en los precios unitarios; no se lleva flete de importación por separado</t>
  </si>
  <si>
    <t>Pedimento y gastos aduanales</t>
  </si>
  <si>
    <t>No aplica: los materiales se adquieren en el mercado nacional</t>
  </si>
  <si>
    <t>Honorarios de administración del proyecto</t>
  </si>
  <si>
    <t>Subtotal antes de IVA</t>
  </si>
  <si>
    <t>PRECIO TOTAL (USD)</t>
  </si>
  <si>
    <t>La línea 11 concentra el costo indirecto, la utilidad y la contingencia de la hoja 6 agrupados como honorario de administración del proyecto, que es el equivalente más cercano en la plantilla del cliente. El total de la línea 14 es idéntico al precio total del contrato de la hoja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</si>
</sst>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38" x14ac:knownFonts="1">
    <font>
      <sz val="11"/>
      <color theme="1"/>
      <name val="Calibri"/>
      <family val="2"/>
      <charset val="1"/>
    </font>
    <font>
      <b/>
      <sz val="22"/>
      <color rgb="FFFFFFFF"/>
      <name val="Arial"/>
      <charset val="1"/>
    </font>
    <font>
      <b/>
      <sz val="10"/>
      <color rgb="FFFFFFFF"/>
      <name val="Arial"/>
      <charset val="1"/>
    </font>
    <font>
      <b/>
      <sz val="18"/>
      <color rgb="FF1F3864"/>
      <name val="Arial"/>
      <charset val="1"/>
    </font>
    <font>
      <b/>
      <sz val="11"/>
      <color rgb="FFC9A227"/>
      <name val="Arial"/>
      <charset val="1"/>
    </font>
    <font>
      <sz val="10"/>
      <color rgb="FF000000"/>
      <name val="Arial"/>
      <charset val="1"/>
    </font>
    <font>
      <b/>
      <sz val="12"/>
      <color rgb="FFFFFFFF"/>
      <name val="Arial"/>
      <charset val="1"/>
    </font>
    <font>
      <b/>
      <sz val="20"/>
      <color rgb="FF1F3864"/>
      <name val="Arial"/>
      <charset val="1"/>
    </font>
    <font>
      <i/>
      <sz val="9"/>
      <color rgb="FF808080"/>
      <name val="Arial"/>
      <charset val="1"/>
    </font>
    <font>
      <b/>
      <sz val="14"/>
      <color rgb="FFFFFFFF"/>
      <name val="Arial"/>
      <charset val="1"/>
    </font>
    <font>
      <b/>
      <sz val="11"/>
      <color rgb="FFFFFFFF"/>
      <name val="Arial"/>
      <charset val="1"/>
    </font>
    <font>
      <b/>
      <sz val="9"/>
      <color rgb="FFFFFFFF"/>
      <name val="Arial"/>
      <charset val="1"/>
    </font>
    <font>
      <sz val="9"/>
      <color rgb="FF000000"/>
      <name val="Arial"/>
      <charset val="1"/>
    </font>
    <font>
      <sz val="9"/>
      <color rgb="FF1E7B34"/>
      <name val="Arial"/>
      <charset val="1"/>
    </font>
    <font>
      <b/>
      <sz val="10"/>
      <color rgb="FF000000"/>
      <name val="Arial"/>
      <charset val="1"/>
    </font>
    <font>
      <b/>
      <sz val="11"/>
      <color rgb="FF1F3864"/>
      <name val="Arial"/>
      <charset val="1"/>
    </font>
    <font>
      <b/>
      <sz val="10"/>
      <color rgb="FFC9A227"/>
      <name val="Arial"/>
      <charset val="1"/>
    </font>
    <font>
      <b/>
      <sz val="9"/>
      <color rgb="FF1F3864"/>
      <name val="Arial"/>
      <charset val="1"/>
    </font>
    <font>
      <i/>
      <sz val="9"/>
      <color rgb="FF9C0006"/>
      <name val="Arial"/>
      <charset val="1"/>
    </font>
    <font>
      <sz val="9"/>
      <color rgb="FF0000FF"/>
      <name val="Arial"/>
      <charset val="1"/>
    </font>
    <font>
      <b/>
      <sz val="9"/>
      <color rgb="FF000000"/>
      <name val="Arial"/>
      <charset val="1"/>
    </font>
    <font>
      <i/>
      <sz val="8"/>
      <color rgb="FF808080"/>
      <name val="Arial"/>
      <charset val="1"/>
    </font>
    <font>
      <b/>
      <sz val="10"/>
      <color rgb="FF1F3864"/>
      <name val="Arial"/>
      <charset val="1"/>
    </font>
    <font>
      <sz val="10"/>
      <color rgb="FF0000FF"/>
      <name val="Arial"/>
      <charset val="1"/>
    </font>
    <font>
      <b/>
      <sz val="11"/>
      <color rgb="FF000000"/>
      <name val="Arial"/>
      <charset val="1"/>
    </font>
    <font>
      <sz val="10"/>
      <color rgb="FF808080"/>
      <name val="Arial"/>
      <charset val="1"/>
    </font>
    <font>
      <b/>
      <sz val="8"/>
      <color rgb="FFFFFFFF"/>
      <name val="Arial"/>
      <charset val="1"/>
    </font>
    <font>
      <b/>
      <sz val="7"/>
      <color rgb="FFFFFFFF"/>
      <name val="Arial"/>
      <charset val="1"/>
    </font>
    <font>
      <sz val="8"/>
      <color rgb="FF000000"/>
      <name val="Arial"/>
      <charset val="1"/>
    </font>
    <font>
      <b/>
      <sz val="8"/>
      <color rgb="FF808080"/>
      <name val="Arial"/>
      <charset val="1"/>
    </font>
    <font>
      <b/>
      <sz val="9"/>
      <color rgb="FF1E7B34"/>
      <name val="Arial"/>
      <charset val="1"/>
    </font>
    <font>
      <b/>
      <sz val="10"/>
      <color rgb="FF1E7B34"/>
      <name val="Arial"/>
      <charset val="1"/>
    </font>
    <font>
      <b/>
      <sz val="9"/>
      <color rgb="FF808080"/>
      <name val="Arial"/>
      <charset val="1"/>
    </font>
    <font>
      <sz val="9"/>
      <color rgb="FF9C0006"/>
      <name val="Arial"/>
      <charset val="1"/>
    </font>
    <font>
      <sz val="9"/>
      <color rgb="FF1F3864"/>
      <name val="Arial"/>
      <charset val="1"/>
    </font>
    <font>
      <b/>
      <sz val="10"/>
      <color rgb="FF9C0006"/>
      <name val="Arial"/>
      <charset val="1"/>
    </font>
    <font>
      <sz val="9"/>
      <color rgb="FF808080"/>
      <name val="Arial"/>
      <charset val="1"/>
    </font>
    <font>
      <b/>
      <sz val="13"/>
      <color rgb="FFFFFFFF"/>
      <name val="Arial"/>
      <charset val="1"/>
    </font>
  </fonts>
  <fills count="10">
    <fill>
      <patternFill patternType="none"/>
    </fill>
    <fill>
      <patternFill patternType="gray125"/>
    </fill>
    <fill>
      <patternFill patternType="solid">
        <fgColor rgb="FF1F3864"/>
        <bgColor rgb="FF333333"/>
      </patternFill>
    </fill>
    <fill>
      <patternFill patternType="solid">
        <fgColor rgb="FF2E5C8A"/>
        <bgColor rgb="FF1F3864"/>
      </patternFill>
    </fill>
    <fill>
      <patternFill patternType="solid">
        <fgColor rgb="FFC9A227"/>
        <bgColor rgb="FF99CC00"/>
      </patternFill>
    </fill>
    <fill>
      <patternFill patternType="solid">
        <fgColor rgb="FFF2F6FB"/>
        <bgColor rgb="FFFFFFFF"/>
      </patternFill>
    </fill>
    <fill>
      <patternFill patternType="solid">
        <fgColor rgb="FFFFF2CC"/>
        <bgColor rgb="FFF2F6FB"/>
      </patternFill>
    </fill>
    <fill>
      <patternFill patternType="solid">
        <fgColor rgb="FFC55A11"/>
        <bgColor rgb="FF993300"/>
      </patternFill>
    </fill>
    <fill>
      <patternFill patternType="solid">
        <fgColor rgb="FF8EA9DB"/>
        <bgColor rgb="FF969696"/>
      </patternFill>
    </fill>
    <fill>
      <patternFill patternType="solid">
        <fgColor rgb="FF1E7B34"/>
        <bgColor rgb="FF00808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129">
    <xf numFmtId="0" fontId="0" fillId="0" borderId="0" xfId="0"/>
    <xf numFmtId="0" fontId="18" fillId="0" borderId="0" xfId="0" applyFont="1" applyBorder="1"/>
    <xf numFmtId="0" fontId="10" fillId="3" borderId="0" xfId="0" applyFont="1" applyFill="1" applyBorder="1"/>
    <xf numFmtId="0" fontId="8" fillId="0" borderId="0" xfId="0" applyFont="1" applyBorder="1" applyAlignment="1">
      <alignment horizontal="left" vertical="center" wrapText="1"/>
    </xf>
    <xf numFmtId="0" fontId="5" fillId="0" borderId="0" xfId="0" applyFont="1" applyBorder="1" applyAlignment="1">
      <alignment horizontal="justify" vertical="center" wrapText="1"/>
    </xf>
    <xf numFmtId="0" fontId="10" fillId="3" borderId="0" xfId="0" applyFont="1" applyFill="1" applyBorder="1" applyAlignment="1">
      <alignment horizontal="left" vertical="center"/>
    </xf>
    <xf numFmtId="0" fontId="9" fillId="2" borderId="0" xfId="0" applyFont="1" applyFill="1" applyBorder="1" applyAlignment="1">
      <alignment horizontal="left" vertical="center"/>
    </xf>
    <xf numFmtId="0" fontId="8" fillId="0" borderId="0" xfId="0" applyFont="1" applyBorder="1" applyAlignment="1">
      <alignment horizontal="center" vertical="center" wrapText="1"/>
    </xf>
    <xf numFmtId="164" fontId="7" fillId="0" borderId="0" xfId="0" applyNumberFormat="1" applyFont="1" applyBorder="1" applyAlignment="1">
      <alignment horizontal="center" vertical="center"/>
    </xf>
    <xf numFmtId="0" fontId="6" fillId="4" borderId="0" xfId="0" applyFont="1" applyFill="1" applyBorder="1" applyAlignment="1">
      <alignment horizontal="center" vertical="center"/>
    </xf>
    <xf numFmtId="0" fontId="5" fillId="0" borderId="2" xfId="0" applyFont="1" applyBorder="1" applyAlignment="1">
      <alignment horizontal="left" vertical="center" wrapText="1"/>
    </xf>
    <xf numFmtId="0" fontId="4" fillId="0" borderId="0" xfId="0" applyFont="1" applyBorder="1" applyAlignment="1">
      <alignment horizontal="center" vertical="center"/>
    </xf>
    <xf numFmtId="0" fontId="3" fillId="0" borderId="0" xfId="0" applyFont="1" applyBorder="1" applyAlignment="1">
      <alignment horizontal="center" vertical="center" wrapText="1"/>
    </xf>
    <xf numFmtId="0" fontId="2" fillId="3" borderId="0" xfId="0" applyFont="1" applyFill="1" applyBorder="1" applyAlignment="1">
      <alignment horizontal="center" vertical="center"/>
    </xf>
    <xf numFmtId="0" fontId="1" fillId="2" borderId="0" xfId="0" applyFont="1" applyFill="1" applyBorder="1" applyAlignment="1">
      <alignment horizontal="center" vertical="center" wrapText="1"/>
    </xf>
    <xf numFmtId="0" fontId="2" fillId="3" borderId="1" xfId="0" applyFont="1" applyFill="1" applyBorder="1"/>
    <xf numFmtId="0" fontId="10" fillId="2" borderId="0" xfId="0" applyFont="1" applyFill="1"/>
    <xf numFmtId="0" fontId="5" fillId="2" borderId="0" xfId="0" applyFont="1" applyFill="1"/>
    <xf numFmtId="0" fontId="11" fillId="3"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xf>
    <xf numFmtId="164" fontId="13" fillId="0" borderId="1" xfId="0" applyNumberFormat="1" applyFont="1" applyBorder="1"/>
    <xf numFmtId="165" fontId="12" fillId="0" borderId="1" xfId="0" applyNumberFormat="1" applyFont="1" applyBorder="1" applyAlignment="1">
      <alignment horizontal="center" vertical="center"/>
    </xf>
    <xf numFmtId="0" fontId="2" fillId="2" borderId="1" xfId="0" applyFont="1" applyFill="1" applyBorder="1"/>
    <xf numFmtId="0" fontId="2" fillId="2" borderId="1" xfId="0" applyFont="1" applyFill="1" applyBorder="1" applyAlignment="1">
      <alignment horizontal="center" vertical="center"/>
    </xf>
    <xf numFmtId="164" fontId="2" fillId="2" borderId="1" xfId="0" applyNumberFormat="1" applyFont="1" applyFill="1" applyBorder="1"/>
    <xf numFmtId="165" fontId="2" fillId="2" borderId="1" xfId="0" applyNumberFormat="1" applyFont="1" applyFill="1" applyBorder="1" applyAlignment="1">
      <alignment horizontal="center" vertical="center"/>
    </xf>
    <xf numFmtId="0" fontId="14" fillId="5" borderId="1" xfId="0" applyFont="1" applyFill="1" applyBorder="1"/>
    <xf numFmtId="164" fontId="15" fillId="0" borderId="1" xfId="0" applyNumberFormat="1" applyFont="1" applyBorder="1" applyAlignment="1">
      <alignment horizontal="center" vertical="center"/>
    </xf>
    <xf numFmtId="3" fontId="15" fillId="0" borderId="1" xfId="0" applyNumberFormat="1" applyFont="1" applyBorder="1" applyAlignment="1">
      <alignment horizontal="center" vertical="center"/>
    </xf>
    <xf numFmtId="0" fontId="16" fillId="0" borderId="0" xfId="0" applyFont="1" applyAlignment="1">
      <alignment horizontal="center" vertical="center"/>
    </xf>
    <xf numFmtId="0" fontId="5" fillId="0" borderId="0" xfId="0" applyFont="1" applyAlignment="1">
      <alignment horizontal="justify" vertical="center" wrapText="1"/>
    </xf>
    <xf numFmtId="0" fontId="17" fillId="0" borderId="0" xfId="0" applyFont="1" applyAlignment="1">
      <alignment horizontal="center" vertical="center"/>
    </xf>
    <xf numFmtId="0" fontId="11" fillId="2" borderId="1" xfId="0" applyFont="1" applyFill="1" applyBorder="1" applyAlignment="1">
      <alignment horizontal="center" vertical="center" wrapText="1"/>
    </xf>
    <xf numFmtId="0" fontId="17" fillId="0" borderId="1" xfId="0" applyFont="1" applyBorder="1" applyAlignment="1">
      <alignment horizontal="center" vertical="center"/>
    </xf>
    <xf numFmtId="4" fontId="12" fillId="0" borderId="1" xfId="0" applyNumberFormat="1" applyFont="1" applyBorder="1" applyAlignment="1">
      <alignment horizontal="right" vertical="center"/>
    </xf>
    <xf numFmtId="166" fontId="19" fillId="6" borderId="1" xfId="0" applyNumberFormat="1" applyFont="1" applyFill="1" applyBorder="1"/>
    <xf numFmtId="166" fontId="12" fillId="0" borderId="1" xfId="0" applyNumberFormat="1" applyFont="1" applyBorder="1"/>
    <xf numFmtId="166" fontId="20" fillId="0" borderId="1" xfId="0" applyNumberFormat="1" applyFont="1" applyBorder="1"/>
    <xf numFmtId="0" fontId="17" fillId="5" borderId="1" xfId="0" applyFont="1" applyFill="1" applyBorder="1" applyAlignment="1">
      <alignment horizontal="center" vertical="center"/>
    </xf>
    <xf numFmtId="0" fontId="12" fillId="5" borderId="1" xfId="0" applyFont="1" applyFill="1" applyBorder="1" applyAlignment="1">
      <alignment horizontal="left" vertical="center" wrapText="1"/>
    </xf>
    <xf numFmtId="0" fontId="12" fillId="5" borderId="1" xfId="0" applyFont="1" applyFill="1" applyBorder="1" applyAlignment="1">
      <alignment horizontal="center" vertical="center"/>
    </xf>
    <xf numFmtId="4" fontId="12" fillId="5" borderId="1" xfId="0" applyNumberFormat="1" applyFont="1" applyFill="1" applyBorder="1" applyAlignment="1">
      <alignment horizontal="right" vertical="center"/>
    </xf>
    <xf numFmtId="166" fontId="12" fillId="5" borderId="1" xfId="0" applyNumberFormat="1" applyFont="1" applyFill="1" applyBorder="1"/>
    <xf numFmtId="166" fontId="20" fillId="5" borderId="1" xfId="0" applyNumberFormat="1" applyFont="1" applyFill="1" applyBorder="1"/>
    <xf numFmtId="166" fontId="2" fillId="2" borderId="1" xfId="0" applyNumberFormat="1" applyFont="1" applyFill="1" applyBorder="1"/>
    <xf numFmtId="0" fontId="10" fillId="4" borderId="1" xfId="0" applyFont="1" applyFill="1" applyBorder="1" applyAlignment="1">
      <alignment horizontal="center" vertical="center"/>
    </xf>
    <xf numFmtId="166" fontId="6" fillId="4" borderId="1" xfId="0" applyNumberFormat="1" applyFont="1" applyFill="1" applyBorder="1"/>
    <xf numFmtId="0" fontId="12" fillId="0" borderId="1" xfId="0" applyFont="1" applyBorder="1"/>
    <xf numFmtId="166" fontId="13" fillId="0" borderId="1" xfId="0" applyNumberFormat="1" applyFont="1" applyBorder="1"/>
    <xf numFmtId="0" fontId="21" fillId="0" borderId="1" xfId="0" applyFont="1" applyBorder="1"/>
    <xf numFmtId="0" fontId="14" fillId="3" borderId="1" xfId="0" applyFont="1" applyFill="1" applyBorder="1"/>
    <xf numFmtId="165" fontId="14" fillId="3" borderId="1" xfId="0" applyNumberFormat="1" applyFont="1" applyFill="1" applyBorder="1" applyAlignment="1">
      <alignment horizontal="center" vertical="center"/>
    </xf>
    <xf numFmtId="166" fontId="22" fillId="3" borderId="1" xfId="0" applyNumberFormat="1" applyFont="1" applyFill="1" applyBorder="1"/>
    <xf numFmtId="0" fontId="21" fillId="3" borderId="1" xfId="0" applyFont="1" applyFill="1" applyBorder="1" applyAlignment="1">
      <alignment horizontal="left" vertical="center" wrapText="1"/>
    </xf>
    <xf numFmtId="0" fontId="5" fillId="0" borderId="1" xfId="0" applyFont="1" applyBorder="1"/>
    <xf numFmtId="165" fontId="23" fillId="6" borderId="1" xfId="0" applyNumberFormat="1" applyFont="1" applyFill="1" applyBorder="1" applyAlignment="1">
      <alignment horizontal="center" vertical="center"/>
    </xf>
    <xf numFmtId="166" fontId="22" fillId="0" borderId="1" xfId="0" applyNumberFormat="1" applyFont="1" applyBorder="1"/>
    <xf numFmtId="0" fontId="21" fillId="0" borderId="1" xfId="0" applyFont="1" applyBorder="1" applyAlignment="1">
      <alignment horizontal="left" vertical="center" wrapText="1"/>
    </xf>
    <xf numFmtId="165" fontId="14" fillId="5" borderId="1" xfId="0" applyNumberFormat="1" applyFont="1" applyFill="1" applyBorder="1" applyAlignment="1">
      <alignment horizontal="center" vertical="center"/>
    </xf>
    <xf numFmtId="166" fontId="22" fillId="5" borderId="1" xfId="0" applyNumberFormat="1" applyFont="1" applyFill="1" applyBorder="1"/>
    <xf numFmtId="0" fontId="21" fillId="5" borderId="1" xfId="0" applyFont="1" applyFill="1" applyBorder="1" applyAlignment="1">
      <alignment horizontal="left" vertical="center" wrapText="1"/>
    </xf>
    <xf numFmtId="0" fontId="10" fillId="2" borderId="1" xfId="0" applyFont="1" applyFill="1" applyBorder="1"/>
    <xf numFmtId="166" fontId="6" fillId="2" borderId="1" xfId="0" applyNumberFormat="1" applyFont="1" applyFill="1" applyBorder="1"/>
    <xf numFmtId="0" fontId="21" fillId="2" borderId="1" xfId="0" applyFont="1" applyFill="1" applyBorder="1" applyAlignment="1">
      <alignment horizontal="left" vertical="center" wrapText="1"/>
    </xf>
    <xf numFmtId="0" fontId="10" fillId="4" borderId="1" xfId="0" applyFont="1" applyFill="1" applyBorder="1"/>
    <xf numFmtId="165" fontId="2" fillId="4" borderId="1" xfId="0" applyNumberFormat="1" applyFont="1" applyFill="1" applyBorder="1" applyAlignment="1">
      <alignment horizontal="center" vertical="center"/>
    </xf>
    <xf numFmtId="0" fontId="21" fillId="4" borderId="1" xfId="0" applyFont="1" applyFill="1" applyBorder="1" applyAlignment="1">
      <alignment horizontal="left" vertical="center" wrapText="1"/>
    </xf>
    <xf numFmtId="165" fontId="19" fillId="6" borderId="1" xfId="0" applyNumberFormat="1" applyFont="1" applyFill="1" applyBorder="1" applyAlignment="1">
      <alignment horizontal="center" vertical="center"/>
    </xf>
    <xf numFmtId="0" fontId="2" fillId="2" borderId="1" xfId="0" applyFont="1" applyFill="1" applyBorder="1" applyAlignment="1">
      <alignment horizontal="right" vertical="center"/>
    </xf>
    <xf numFmtId="0" fontId="5" fillId="2" borderId="1" xfId="0" applyFont="1" applyFill="1" applyBorder="1"/>
    <xf numFmtId="0" fontId="26"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27" fillId="2" borderId="1" xfId="0" applyFont="1" applyFill="1" applyBorder="1" applyAlignment="1">
      <alignment horizontal="center" vertical="center"/>
    </xf>
    <xf numFmtId="0" fontId="28" fillId="0" borderId="1" xfId="0" applyFont="1" applyBorder="1" applyAlignment="1">
      <alignment horizontal="center" vertical="center"/>
    </xf>
    <xf numFmtId="0" fontId="20" fillId="0" borderId="1" xfId="0" applyFont="1" applyBorder="1" applyAlignment="1">
      <alignment horizontal="left" vertical="center" wrapText="1"/>
    </xf>
    <xf numFmtId="0" fontId="26" fillId="7" borderId="1" xfId="0" applyFont="1" applyFill="1" applyBorder="1" applyAlignment="1">
      <alignment horizontal="center" vertical="center"/>
    </xf>
    <xf numFmtId="0" fontId="0" fillId="7" borderId="1" xfId="0" applyFill="1" applyBorder="1"/>
    <xf numFmtId="0" fontId="0" fillId="0" borderId="1" xfId="0" applyBorder="1"/>
    <xf numFmtId="0" fontId="29" fillId="0" borderId="1" xfId="0" applyFont="1" applyBorder="1" applyAlignment="1">
      <alignment horizontal="center" vertical="center"/>
    </xf>
    <xf numFmtId="0" fontId="0" fillId="8" borderId="1" xfId="0" applyFill="1" applyBorder="1"/>
    <xf numFmtId="0" fontId="5" fillId="3" borderId="1" xfId="0" applyFont="1" applyFill="1" applyBorder="1"/>
    <xf numFmtId="0" fontId="11" fillId="4" borderId="1" xfId="0" applyFont="1" applyFill="1" applyBorder="1" applyAlignment="1">
      <alignment horizontal="center" vertical="center"/>
    </xf>
    <xf numFmtId="0" fontId="5" fillId="4" borderId="1" xfId="0" applyFont="1" applyFill="1" applyBorder="1"/>
    <xf numFmtId="0" fontId="11" fillId="9" borderId="1" xfId="0" applyFont="1" applyFill="1" applyBorder="1" applyAlignment="1">
      <alignment horizontal="center" vertical="center"/>
    </xf>
    <xf numFmtId="0" fontId="12" fillId="0" borderId="1" xfId="0" applyFont="1" applyBorder="1" applyAlignment="1">
      <alignment horizontal="justify" vertical="center" wrapText="1"/>
    </xf>
    <xf numFmtId="0" fontId="30" fillId="0" borderId="1" xfId="0" applyFont="1" applyBorder="1" applyAlignment="1">
      <alignment horizontal="center" vertical="center"/>
    </xf>
    <xf numFmtId="166" fontId="31" fillId="6" borderId="1" xfId="0" applyNumberFormat="1" applyFont="1" applyFill="1" applyBorder="1"/>
    <xf numFmtId="0" fontId="21" fillId="0" borderId="1" xfId="0" applyFont="1" applyBorder="1" applyAlignment="1">
      <alignment horizontal="justify" vertical="center" wrapText="1"/>
    </xf>
    <xf numFmtId="0" fontId="32" fillId="0" borderId="1" xfId="0" applyFont="1" applyBorder="1" applyAlignment="1">
      <alignment horizontal="center" vertical="center"/>
    </xf>
    <xf numFmtId="166" fontId="10" fillId="2" borderId="1" xfId="0" applyNumberFormat="1" applyFont="1" applyFill="1" applyBorder="1"/>
    <xf numFmtId="166" fontId="33" fillId="0" borderId="1" xfId="0" applyNumberFormat="1" applyFont="1" applyBorder="1" applyAlignment="1">
      <alignment horizontal="center" vertical="center"/>
    </xf>
    <xf numFmtId="0" fontId="2" fillId="2" borderId="1" xfId="0" applyFont="1" applyFill="1" applyBorder="1" applyAlignment="1">
      <alignment horizontal="center" vertical="center" wrapText="1"/>
    </xf>
    <xf numFmtId="166" fontId="22" fillId="0" borderId="1" xfId="0" applyNumberFormat="1" applyFont="1" applyBorder="1" applyAlignment="1">
      <alignment horizontal="center" vertical="center"/>
    </xf>
    <xf numFmtId="166" fontId="31" fillId="0" borderId="1" xfId="0" applyNumberFormat="1" applyFont="1" applyBorder="1" applyAlignment="1">
      <alignment horizontal="center" vertical="center"/>
    </xf>
    <xf numFmtId="166" fontId="35" fillId="0" borderId="1" xfId="0" applyNumberFormat="1" applyFont="1" applyBorder="1" applyAlignment="1">
      <alignment horizontal="center" vertical="center"/>
    </xf>
    <xf numFmtId="166" fontId="22" fillId="3" borderId="1" xfId="0" applyNumberFormat="1" applyFont="1" applyFill="1" applyBorder="1" applyAlignment="1">
      <alignment horizontal="center" vertical="center"/>
    </xf>
    <xf numFmtId="166" fontId="31" fillId="3" borderId="1" xfId="0" applyNumberFormat="1" applyFont="1" applyFill="1" applyBorder="1" applyAlignment="1">
      <alignment horizontal="center" vertical="center"/>
    </xf>
    <xf numFmtId="166" fontId="35" fillId="3" borderId="1" xfId="0" applyNumberFormat="1" applyFont="1" applyFill="1" applyBorder="1" applyAlignment="1">
      <alignment horizontal="center" vertical="center"/>
    </xf>
    <xf numFmtId="166" fontId="6" fillId="4" borderId="1" xfId="0" applyNumberFormat="1" applyFont="1" applyFill="1" applyBorder="1" applyAlignment="1">
      <alignment horizontal="center" vertical="center"/>
    </xf>
    <xf numFmtId="165" fontId="22" fillId="0" borderId="1" xfId="0" applyNumberFormat="1" applyFont="1" applyBorder="1" applyAlignment="1">
      <alignment horizontal="center" vertical="center"/>
    </xf>
    <xf numFmtId="165" fontId="31" fillId="0" borderId="1" xfId="0" applyNumberFormat="1" applyFont="1" applyBorder="1" applyAlignment="1">
      <alignment horizontal="center" vertical="center"/>
    </xf>
    <xf numFmtId="165" fontId="35" fillId="0" borderId="1" xfId="0" applyNumberFormat="1" applyFont="1" applyBorder="1" applyAlignment="1">
      <alignment horizontal="center" vertical="center"/>
    </xf>
    <xf numFmtId="3" fontId="22" fillId="0" borderId="1" xfId="0" applyNumberFormat="1" applyFont="1" applyBorder="1" applyAlignment="1">
      <alignment horizontal="center" vertical="center"/>
    </xf>
    <xf numFmtId="3" fontId="31" fillId="0" borderId="1" xfId="0" applyNumberFormat="1" applyFont="1" applyBorder="1" applyAlignment="1">
      <alignment horizontal="center" vertical="center"/>
    </xf>
    <xf numFmtId="3" fontId="35" fillId="0" borderId="1" xfId="0" applyNumberFormat="1" applyFont="1" applyBorder="1" applyAlignment="1">
      <alignment horizontal="center" vertical="center"/>
    </xf>
    <xf numFmtId="0" fontId="20" fillId="0" borderId="1" xfId="0" applyFont="1" applyBorder="1" applyAlignment="1">
      <alignment horizontal="center" vertical="center"/>
    </xf>
    <xf numFmtId="166" fontId="36" fillId="0" borderId="1" xfId="0" applyNumberFormat="1" applyFont="1" applyBorder="1"/>
    <xf numFmtId="166" fontId="21" fillId="0" borderId="1" xfId="0" applyNumberFormat="1" applyFont="1" applyBorder="1" applyAlignment="1">
      <alignment horizontal="left" vertical="center" wrapText="1"/>
    </xf>
    <xf numFmtId="0" fontId="2" fillId="3" borderId="1" xfId="0" applyFont="1" applyFill="1" applyBorder="1" applyAlignment="1">
      <alignment horizontal="center" vertical="center"/>
    </xf>
    <xf numFmtId="166" fontId="2" fillId="3" borderId="1" xfId="0" applyNumberFormat="1" applyFont="1" applyFill="1" applyBorder="1"/>
    <xf numFmtId="0" fontId="14" fillId="0" borderId="1" xfId="0" applyFont="1" applyBorder="1" applyAlignment="1">
      <alignment horizontal="center" vertical="center"/>
    </xf>
    <xf numFmtId="0" fontId="14" fillId="0" borderId="1" xfId="0" applyFont="1" applyBorder="1"/>
    <xf numFmtId="166" fontId="14" fillId="0" borderId="1" xfId="0" applyNumberFormat="1" applyFont="1" applyBorder="1"/>
    <xf numFmtId="166" fontId="37" fillId="4" borderId="1" xfId="0" applyNumberFormat="1" applyFont="1" applyFill="1" applyBorder="1"/>
    <xf numFmtId="0" fontId="2" fillId="3" borderId="0" xfId="0" applyFont="1" applyFill="1" applyBorder="1"/>
    <xf numFmtId="0" fontId="2" fillId="2" borderId="2" xfId="0" applyFont="1" applyFill="1" applyBorder="1" applyAlignment="1">
      <alignment horizontal="right" vertical="center"/>
    </xf>
    <xf numFmtId="0" fontId="10" fillId="4" borderId="2" xfId="0" applyFont="1" applyFill="1" applyBorder="1" applyAlignment="1">
      <alignment horizontal="right" vertical="center"/>
    </xf>
    <xf numFmtId="0" fontId="15" fillId="0" borderId="0" xfId="0" applyFont="1" applyBorder="1"/>
    <xf numFmtId="0" fontId="24" fillId="0" borderId="0" xfId="0" applyFont="1" applyBorder="1"/>
    <xf numFmtId="0" fontId="25" fillId="0" borderId="0" xfId="0" applyFont="1" applyBorder="1"/>
    <xf numFmtId="0" fontId="8" fillId="0" borderId="0" xfId="0" applyFont="1" applyBorder="1"/>
    <xf numFmtId="0" fontId="11" fillId="3" borderId="0" xfId="0" applyFont="1" applyFill="1" applyBorder="1" applyAlignment="1">
      <alignment horizontal="center" vertical="center"/>
    </xf>
    <xf numFmtId="0" fontId="17" fillId="0" borderId="2" xfId="0" applyFont="1" applyBorder="1"/>
    <xf numFmtId="0" fontId="11" fillId="4" borderId="0" xfId="0" applyFont="1" applyFill="1" applyBorder="1" applyAlignment="1">
      <alignment horizontal="center" vertical="center"/>
    </xf>
    <xf numFmtId="0" fontId="12" fillId="0" borderId="2" xfId="0" applyFont="1" applyBorder="1"/>
    <xf numFmtId="0" fontId="8" fillId="0" borderId="0" xfId="0" applyFont="1" applyBorder="1" applyAlignment="1">
      <alignment horizontal="justify" vertical="center" wrapText="1"/>
    </xf>
    <xf numFmtId="0" fontId="34" fillId="0" borderId="0" xfId="0" applyFont="1" applyBorder="1" applyAlignment="1">
      <alignment horizontal="justify"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E7B34"/>
      <rgbColor rgb="FF000080"/>
      <rgbColor rgb="FF808000"/>
      <rgbColor rgb="FF800080"/>
      <rgbColor rgb="FF008080"/>
      <rgbColor rgb="FFBFBFBF"/>
      <rgbColor rgb="FF808080"/>
      <rgbColor rgb="FF8EA9DB"/>
      <rgbColor rgb="FF993366"/>
      <rgbColor rgb="FFFFF2CC"/>
      <rgbColor rgb="FFF2F6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227"/>
      <rgbColor rgb="FFC55A11"/>
      <rgbColor rgb="FF666699"/>
      <rgbColor rgb="FF969696"/>
      <rgbColor rgb="FF1F3864"/>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7"/>
  <sheetViews>
    <sheetView showGridLines="0" tabSelected="1" zoomScaleNormal="100" workbookViewId="0"/>
  </sheetViews>
  <sheetFormatPr baseColWidth="10" defaultColWidth="8.6328125" defaultRowHeight="14.5" x14ac:dyDescent="0.35"/>
  <cols>
    <col min="1" max="1" width="3" customWidth="1"/>
    <col min="2" max="2" width="26" customWidth="1"/>
    <col min="3" max="3" width="22" customWidth="1"/>
    <col min="4" max="6" width="20" customWidth="1"/>
    <col min="7" max="7" width="18" customWidth="1"/>
    <col min="8" max="8" width="3" customWidth="1"/>
  </cols>
  <sheetData>
    <row r="2" spans="2:7" ht="25.5" customHeight="1" x14ac:dyDescent="0.35">
      <c r="B2" s="14" t="s">
        <v>0</v>
      </c>
      <c r="C2" s="14"/>
      <c r="D2" s="14"/>
      <c r="E2" s="14"/>
      <c r="F2" s="14"/>
      <c r="G2" s="14"/>
    </row>
    <row r="3" spans="2:7" ht="25.5" customHeight="1" x14ac:dyDescent="0.35">
      <c r="B3" s="14"/>
      <c r="C3" s="14"/>
      <c r="D3" s="14"/>
      <c r="E3" s="14"/>
      <c r="F3" s="14"/>
      <c r="G3" s="14"/>
    </row>
    <row r="4" spans="2:7" x14ac:dyDescent="0.35">
      <c r="B4" s="14"/>
      <c r="C4" s="14"/>
      <c r="D4" s="14"/>
      <c r="E4" s="14"/>
      <c r="F4" s="14"/>
      <c r="G4" s="14"/>
    </row>
    <row r="5" spans="2:7" x14ac:dyDescent="0.35">
      <c r="B5" s="13" t="s">
        <v>1</v>
      </c>
      <c r="C5" s="13"/>
      <c r="D5" s="13"/>
      <c r="E5" s="13"/>
      <c r="F5" s="13"/>
      <c r="G5" s="13"/>
    </row>
    <row r="7" spans="2:7" ht="24" customHeight="1" x14ac:dyDescent="0.35">
      <c r="B7" s="12" t="s">
        <v>2</v>
      </c>
      <c r="C7" s="12"/>
      <c r="D7" s="12"/>
      <c r="E7" s="12"/>
      <c r="F7" s="12"/>
      <c r="G7" s="12"/>
    </row>
    <row r="8" spans="2:7" ht="24" customHeight="1" x14ac:dyDescent="0.35">
      <c r="B8" s="12"/>
      <c r="C8" s="12"/>
      <c r="D8" s="12"/>
      <c r="E8" s="12"/>
      <c r="F8" s="12"/>
      <c r="G8" s="12"/>
    </row>
    <row r="9" spans="2:7" x14ac:dyDescent="0.35">
      <c r="B9" s="11" t="s">
        <v>3</v>
      </c>
      <c r="C9" s="11"/>
      <c r="D9" s="11"/>
      <c r="E9" s="11"/>
      <c r="F9" s="11"/>
      <c r="G9" s="11"/>
    </row>
    <row r="11" spans="2:7" ht="19.5" customHeight="1" x14ac:dyDescent="0.35">
      <c r="B11" s="15" t="s">
        <v>4</v>
      </c>
      <c r="C11" s="10" t="s">
        <v>5</v>
      </c>
      <c r="D11" s="10"/>
      <c r="E11" s="10"/>
      <c r="F11" s="10"/>
      <c r="G11" s="10"/>
    </row>
    <row r="12" spans="2:7" ht="19.5" customHeight="1" x14ac:dyDescent="0.35">
      <c r="B12" s="15" t="s">
        <v>6</v>
      </c>
      <c r="C12" s="10" t="s">
        <v>7</v>
      </c>
      <c r="D12" s="10"/>
      <c r="E12" s="10"/>
      <c r="F12" s="10"/>
      <c r="G12" s="10"/>
    </row>
    <row r="13" spans="2:7" ht="19.5" customHeight="1" x14ac:dyDescent="0.35">
      <c r="B13" s="15" t="s">
        <v>8</v>
      </c>
      <c r="C13" s="10" t="s">
        <v>9</v>
      </c>
      <c r="D13" s="10"/>
      <c r="E13" s="10"/>
      <c r="F13" s="10"/>
      <c r="G13" s="10"/>
    </row>
    <row r="14" spans="2:7" ht="19.5" customHeight="1" x14ac:dyDescent="0.35">
      <c r="B14" s="15" t="s">
        <v>10</v>
      </c>
      <c r="C14" s="10" t="s">
        <v>11</v>
      </c>
      <c r="D14" s="10"/>
      <c r="E14" s="10"/>
      <c r="F14" s="10"/>
      <c r="G14" s="10"/>
    </row>
    <row r="15" spans="2:7" ht="19.5" customHeight="1" x14ac:dyDescent="0.35">
      <c r="B15" s="15" t="s">
        <v>12</v>
      </c>
      <c r="C15" s="10" t="s">
        <v>13</v>
      </c>
      <c r="D15" s="10"/>
      <c r="E15" s="10"/>
      <c r="F15" s="10"/>
      <c r="G15" s="10"/>
    </row>
    <row r="16" spans="2:7" ht="19.5" customHeight="1" x14ac:dyDescent="0.35">
      <c r="B16" s="15" t="s">
        <v>14</v>
      </c>
      <c r="C16" s="10" t="s">
        <v>15</v>
      </c>
      <c r="D16" s="10"/>
      <c r="E16" s="10"/>
      <c r="F16" s="10"/>
      <c r="G16" s="10"/>
    </row>
    <row r="17" spans="2:7" ht="19.5" customHeight="1" x14ac:dyDescent="0.35">
      <c r="B17" s="15" t="s">
        <v>16</v>
      </c>
      <c r="C17" s="10" t="s">
        <v>17</v>
      </c>
      <c r="D17" s="10"/>
      <c r="E17" s="10"/>
      <c r="F17" s="10"/>
      <c r="G17" s="10"/>
    </row>
    <row r="18" spans="2:7" ht="19.5" customHeight="1" x14ac:dyDescent="0.35">
      <c r="B18" s="15" t="s">
        <v>18</v>
      </c>
      <c r="C18" s="10" t="s">
        <v>19</v>
      </c>
      <c r="D18" s="10"/>
      <c r="E18" s="10"/>
      <c r="F18" s="10"/>
      <c r="G18" s="10"/>
    </row>
    <row r="19" spans="2:7" ht="19.5" customHeight="1" x14ac:dyDescent="0.35">
      <c r="B19" s="15" t="s">
        <v>20</v>
      </c>
      <c r="C19" s="10" t="s">
        <v>21</v>
      </c>
      <c r="D19" s="10"/>
      <c r="E19" s="10"/>
      <c r="F19" s="10"/>
      <c r="G19" s="10"/>
    </row>
    <row r="20" spans="2:7" ht="19.5" customHeight="1" x14ac:dyDescent="0.35">
      <c r="B20" s="15" t="s">
        <v>22</v>
      </c>
      <c r="C20" s="10" t="s">
        <v>23</v>
      </c>
      <c r="D20" s="10"/>
      <c r="E20" s="10"/>
      <c r="F20" s="10"/>
      <c r="G20" s="10"/>
    </row>
    <row r="22" spans="2:7" ht="15.5" x14ac:dyDescent="0.35">
      <c r="B22" s="9" t="s">
        <v>24</v>
      </c>
      <c r="C22" s="9"/>
      <c r="D22" s="9"/>
      <c r="E22" s="9"/>
      <c r="F22" s="9"/>
      <c r="G22" s="9"/>
    </row>
    <row r="23" spans="2:7" ht="33.75" customHeight="1" x14ac:dyDescent="0.35">
      <c r="B23" s="8">
        <f>'6. RESUMEN DE COSTOS'!D21</f>
        <v>2369001.7599999998</v>
      </c>
      <c r="C23" s="8"/>
      <c r="D23" s="8"/>
      <c r="E23" s="8"/>
      <c r="F23" s="8"/>
      <c r="G23" s="8"/>
    </row>
    <row r="25" spans="2:7" ht="15" customHeight="1" x14ac:dyDescent="0.35">
      <c r="B25" s="7" t="s">
        <v>25</v>
      </c>
      <c r="C25" s="7"/>
      <c r="D25" s="7"/>
      <c r="E25" s="7"/>
      <c r="F25" s="7"/>
      <c r="G25" s="7"/>
    </row>
    <row r="26" spans="2:7" x14ac:dyDescent="0.35">
      <c r="B26" s="7"/>
      <c r="C26" s="7"/>
      <c r="D26" s="7"/>
      <c r="E26" s="7"/>
      <c r="F26" s="7"/>
      <c r="G26" s="7"/>
    </row>
    <row r="27" spans="2:7" x14ac:dyDescent="0.35">
      <c r="B27" s="7"/>
      <c r="C27" s="7"/>
      <c r="D27" s="7"/>
      <c r="E27" s="7"/>
      <c r="F27" s="7"/>
      <c r="G27" s="7"/>
    </row>
  </sheetData>
  <mergeCells count="17">
    <mergeCell ref="B23:G23"/>
    <mergeCell ref="B25:G27"/>
    <mergeCell ref="C17:G17"/>
    <mergeCell ref="C18:G18"/>
    <mergeCell ref="C19:G19"/>
    <mergeCell ref="C20:G20"/>
    <mergeCell ref="B22:G22"/>
    <mergeCell ref="C12:G12"/>
    <mergeCell ref="C13:G13"/>
    <mergeCell ref="C14:G14"/>
    <mergeCell ref="C15:G15"/>
    <mergeCell ref="C16:G16"/>
    <mergeCell ref="B2:G4"/>
    <mergeCell ref="B5:G5"/>
    <mergeCell ref="B7:G8"/>
    <mergeCell ref="B9:G9"/>
    <mergeCell ref="C11:G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showGridLines="0" topLeftCell="A19" zoomScaleNormal="100" workbookViewId="0">
      <selection activeCell="D22" sqref="D22:D23"/>
    </sheetView>
  </sheetViews>
  <sheetFormatPr baseColWidth="10" defaultColWidth="8.6328125" defaultRowHeight="14.5" x14ac:dyDescent="0.35"/>
  <cols>
    <col min="1" max="1" width="3" customWidth="1"/>
    <col min="2" max="2" width="34" customWidth="1"/>
    <col min="3" max="7" width="18" customWidth="1"/>
    <col min="8" max="8" width="3" customWidth="1"/>
  </cols>
  <sheetData>
    <row r="1" spans="1:8" ht="25.5" customHeight="1" x14ac:dyDescent="0.35">
      <c r="A1" s="6" t="s">
        <v>26</v>
      </c>
      <c r="B1" s="6"/>
      <c r="C1" s="6"/>
      <c r="D1" s="6"/>
      <c r="E1" s="6"/>
      <c r="F1" s="6"/>
      <c r="G1" s="6"/>
      <c r="H1" s="6"/>
    </row>
    <row r="2" spans="1:8" ht="19.5" customHeight="1" x14ac:dyDescent="0.35">
      <c r="A2" s="5" t="s">
        <v>27</v>
      </c>
      <c r="B2" s="5"/>
      <c r="C2" s="5"/>
      <c r="D2" s="5"/>
      <c r="E2" s="5"/>
      <c r="F2" s="5"/>
      <c r="G2" s="5"/>
      <c r="H2" s="5"/>
    </row>
    <row r="4" spans="1:8" ht="15" customHeight="1" x14ac:dyDescent="0.35">
      <c r="B4" s="4" t="s">
        <v>28</v>
      </c>
      <c r="C4" s="4"/>
      <c r="D4" s="4"/>
      <c r="E4" s="4"/>
      <c r="F4" s="4"/>
      <c r="G4" s="4"/>
    </row>
    <row r="5" spans="1:8" x14ac:dyDescent="0.35">
      <c r="B5" s="4"/>
      <c r="C5" s="4"/>
      <c r="D5" s="4"/>
      <c r="E5" s="4"/>
      <c r="F5" s="4"/>
      <c r="G5" s="4"/>
    </row>
    <row r="6" spans="1:8" x14ac:dyDescent="0.35">
      <c r="B6" s="4"/>
      <c r="C6" s="4"/>
      <c r="D6" s="4"/>
      <c r="E6" s="4"/>
      <c r="F6" s="4"/>
      <c r="G6" s="4"/>
    </row>
    <row r="7" spans="1:8" x14ac:dyDescent="0.35">
      <c r="B7" s="4"/>
      <c r="C7" s="4"/>
      <c r="D7" s="4"/>
      <c r="E7" s="4"/>
      <c r="F7" s="4"/>
      <c r="G7" s="4"/>
    </row>
    <row r="8" spans="1:8" x14ac:dyDescent="0.35">
      <c r="B8" s="4"/>
      <c r="C8" s="4"/>
      <c r="D8" s="4"/>
      <c r="E8" s="4"/>
      <c r="F8" s="4"/>
      <c r="G8" s="4"/>
    </row>
    <row r="9" spans="1:8" x14ac:dyDescent="0.35">
      <c r="B9" s="4"/>
      <c r="C9" s="4"/>
      <c r="D9" s="4"/>
      <c r="E9" s="4"/>
      <c r="F9" s="4"/>
      <c r="G9" s="4"/>
    </row>
    <row r="10" spans="1:8" x14ac:dyDescent="0.35">
      <c r="B10" s="4"/>
      <c r="C10" s="4"/>
      <c r="D10" s="4"/>
      <c r="E10" s="4"/>
      <c r="F10" s="4"/>
      <c r="G10" s="4"/>
    </row>
    <row r="11" spans="1:8" x14ac:dyDescent="0.35">
      <c r="B11" s="4"/>
      <c r="C11" s="4"/>
      <c r="D11" s="4"/>
      <c r="E11" s="4"/>
      <c r="F11" s="4"/>
      <c r="G11" s="4"/>
    </row>
    <row r="12" spans="1:8" x14ac:dyDescent="0.35">
      <c r="B12" s="4"/>
      <c r="C12" s="4"/>
      <c r="D12" s="4"/>
      <c r="E12" s="4"/>
      <c r="F12" s="4"/>
      <c r="G12" s="4"/>
    </row>
    <row r="13" spans="1:8" x14ac:dyDescent="0.35">
      <c r="B13" s="4"/>
      <c r="C13" s="4"/>
      <c r="D13" s="4"/>
      <c r="E13" s="4"/>
      <c r="F13" s="4"/>
      <c r="G13" s="4"/>
    </row>
    <row r="14" spans="1:8" x14ac:dyDescent="0.35">
      <c r="B14" s="4"/>
      <c r="C14" s="4"/>
      <c r="D14" s="4"/>
      <c r="E14" s="4"/>
      <c r="F14" s="4"/>
      <c r="G14" s="4"/>
    </row>
    <row r="15" spans="1:8" x14ac:dyDescent="0.35">
      <c r="B15" s="4"/>
      <c r="C15" s="4"/>
      <c r="D15" s="4"/>
      <c r="E15" s="4"/>
      <c r="F15" s="4"/>
      <c r="G15" s="4"/>
    </row>
    <row r="16" spans="1:8" x14ac:dyDescent="0.35">
      <c r="B16" s="4"/>
      <c r="C16" s="4"/>
      <c r="D16" s="4"/>
      <c r="E16" s="4"/>
      <c r="F16" s="4"/>
      <c r="G16" s="4"/>
    </row>
    <row r="17" spans="2:7" x14ac:dyDescent="0.35">
      <c r="B17" s="4"/>
      <c r="C17" s="4"/>
      <c r="D17" s="4"/>
      <c r="E17" s="4"/>
      <c r="F17" s="4"/>
      <c r="G17" s="4"/>
    </row>
    <row r="18" spans="2:7" x14ac:dyDescent="0.35">
      <c r="B18" s="4"/>
      <c r="C18" s="4"/>
      <c r="D18" s="4"/>
      <c r="E18" s="4"/>
      <c r="F18" s="4"/>
      <c r="G18" s="4"/>
    </row>
    <row r="20" spans="2:7" x14ac:dyDescent="0.35">
      <c r="B20" s="16" t="s">
        <v>29</v>
      </c>
      <c r="C20" s="17"/>
      <c r="D20" s="17"/>
      <c r="E20" s="17"/>
      <c r="F20" s="17"/>
      <c r="G20" s="17"/>
    </row>
    <row r="21" spans="2:7" ht="23" x14ac:dyDescent="0.35">
      <c r="B21" s="18" t="s">
        <v>30</v>
      </c>
      <c r="C21" s="18" t="s">
        <v>31</v>
      </c>
      <c r="D21" s="18" t="s">
        <v>32</v>
      </c>
      <c r="E21" s="18" t="s">
        <v>33</v>
      </c>
    </row>
    <row r="22" spans="2:7" ht="25.5" customHeight="1" x14ac:dyDescent="0.35">
      <c r="B22" s="19" t="s">
        <v>34</v>
      </c>
      <c r="C22" s="20">
        <v>22</v>
      </c>
      <c r="D22" s="21">
        <f>SUMIF('5. DESGLOSE PARTIDAS'!$A:$A,"A TOTAL",'5. DESGLOSE PARTIDAS'!$H:$H)</f>
        <v>266800</v>
      </c>
      <c r="E22" s="22">
        <f t="shared" ref="E22:E29" si="0">IF($D$30=0,0,D22/$D$30)</f>
        <v>0.14883252985523091</v>
      </c>
    </row>
    <row r="23" spans="2:7" ht="25.5" customHeight="1" x14ac:dyDescent="0.35">
      <c r="B23" s="19" t="s">
        <v>35</v>
      </c>
      <c r="C23" s="20">
        <v>31</v>
      </c>
      <c r="D23" s="21">
        <f>SUMIF('5. DESGLOSE PARTIDAS'!$A:$A,"B TOTAL",'5. DESGLOSE PARTIDAS'!$H:$H)</f>
        <v>606786.7699999999</v>
      </c>
      <c r="E23" s="22">
        <f t="shared" si="0"/>
        <v>0.33849179183577255</v>
      </c>
    </row>
    <row r="24" spans="2:7" ht="25.5" customHeight="1" x14ac:dyDescent="0.35">
      <c r="B24" s="19" t="s">
        <v>36</v>
      </c>
      <c r="C24" s="20">
        <v>111</v>
      </c>
      <c r="D24" s="21">
        <f>SUMIF('5. DESGLOSE PARTIDAS'!$A:$A,"C TOTAL",'5. DESGLOSE PARTIDAS'!$H:$H)</f>
        <v>365367.00000000006</v>
      </c>
      <c r="E24" s="22">
        <f t="shared" si="0"/>
        <v>0.20381744728491813</v>
      </c>
    </row>
    <row r="25" spans="2:7" ht="25.5" customHeight="1" x14ac:dyDescent="0.35">
      <c r="B25" s="19" t="s">
        <v>37</v>
      </c>
      <c r="C25" s="20">
        <v>63</v>
      </c>
      <c r="D25" s="21">
        <f>SUMIF('5. DESGLOSE PARTIDAS'!$A:$A,"D TOTAL",'5. DESGLOSE PARTIDAS'!$H:$H)</f>
        <v>275378.78000000003</v>
      </c>
      <c r="E25" s="22">
        <f t="shared" si="0"/>
        <v>0.15361814278803249</v>
      </c>
    </row>
    <row r="26" spans="2:7" ht="25.5" customHeight="1" x14ac:dyDescent="0.35">
      <c r="B26" s="19" t="s">
        <v>38</v>
      </c>
      <c r="C26" s="20">
        <v>35</v>
      </c>
      <c r="D26" s="21">
        <f>SUMIF('5. DESGLOSE PARTIDAS'!$A:$A,"E TOTAL",'5. DESGLOSE PARTIDAS'!$H:$H)</f>
        <v>62252.990000000005</v>
      </c>
      <c r="E26" s="22">
        <f t="shared" si="0"/>
        <v>3.4727398773434753E-2</v>
      </c>
    </row>
    <row r="27" spans="2:7" ht="25.5" customHeight="1" x14ac:dyDescent="0.35">
      <c r="B27" s="19" t="s">
        <v>39</v>
      </c>
      <c r="C27" s="20">
        <v>51</v>
      </c>
      <c r="D27" s="21">
        <f>SUMIF('5. DESGLOSE PARTIDAS'!$A:$A,"F TOTAL",'5. DESGLOSE PARTIDAS'!$H:$H)</f>
        <v>150728.23999999996</v>
      </c>
      <c r="E27" s="22">
        <f t="shared" si="0"/>
        <v>8.4082703447625196E-2</v>
      </c>
    </row>
    <row r="28" spans="2:7" ht="25.5" customHeight="1" x14ac:dyDescent="0.35">
      <c r="B28" s="19" t="s">
        <v>40</v>
      </c>
      <c r="C28" s="20">
        <v>20</v>
      </c>
      <c r="D28" s="21">
        <f>SUMIF('5. DESGLOSE PARTIDAS'!$A:$A,"G TOTAL",'5. DESGLOSE PARTIDAS'!$H:$H)</f>
        <v>34987.99</v>
      </c>
      <c r="E28" s="22">
        <f t="shared" si="0"/>
        <v>1.9517807594638382E-2</v>
      </c>
    </row>
    <row r="29" spans="2:7" ht="25.5" customHeight="1" x14ac:dyDescent="0.35">
      <c r="B29" s="19" t="s">
        <v>41</v>
      </c>
      <c r="C29" s="20">
        <v>8</v>
      </c>
      <c r="D29" s="21">
        <f>SUMIF('5. DESGLOSE PARTIDAS'!$A:$A,"H TOTAL",'5. DESGLOSE PARTIDAS'!$H:$H)</f>
        <v>30317.09</v>
      </c>
      <c r="E29" s="22">
        <f t="shared" si="0"/>
        <v>1.6912178420347534E-2</v>
      </c>
    </row>
    <row r="30" spans="2:7" x14ac:dyDescent="0.35">
      <c r="B30" s="23" t="s">
        <v>42</v>
      </c>
      <c r="C30" s="24">
        <f>SUM(C22:C29)</f>
        <v>341</v>
      </c>
      <c r="D30" s="25">
        <f>SUM(D22:D29)</f>
        <v>1792618.86</v>
      </c>
      <c r="E30" s="26">
        <v>1</v>
      </c>
    </row>
    <row r="32" spans="2:7" x14ac:dyDescent="0.35">
      <c r="B32" s="27" t="s">
        <v>43</v>
      </c>
      <c r="C32" s="28">
        <f>'6. RESUMEN DE COSTOS'!D19</f>
        <v>2193520.15</v>
      </c>
    </row>
    <row r="33" spans="2:3" x14ac:dyDescent="0.35">
      <c r="B33" s="27" t="s">
        <v>44</v>
      </c>
      <c r="C33" s="28">
        <f>'6. RESUMEN DE COSTOS'!D21</f>
        <v>2369001.7599999998</v>
      </c>
    </row>
    <row r="34" spans="2:3" x14ac:dyDescent="0.35">
      <c r="B34" s="27" t="s">
        <v>45</v>
      </c>
      <c r="C34" s="29">
        <v>24</v>
      </c>
    </row>
    <row r="35" spans="2:3" x14ac:dyDescent="0.35">
      <c r="B35" s="27" t="s">
        <v>46</v>
      </c>
      <c r="C35" s="28">
        <f>'9. INGENIERIA DE VALOR'!E16</f>
        <v>80869.600000000006</v>
      </c>
    </row>
    <row r="36" spans="2:3" x14ac:dyDescent="0.35">
      <c r="B36" s="27" t="s">
        <v>47</v>
      </c>
      <c r="C36" s="29">
        <v>20</v>
      </c>
    </row>
  </sheetData>
  <mergeCells count="3">
    <mergeCell ref="A1:H1"/>
    <mergeCell ref="A2:H2"/>
    <mergeCell ref="B4:G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1"/>
  <sheetViews>
    <sheetView showGridLines="0" zoomScaleNormal="100" workbookViewId="0">
      <selection sqref="A1:D1"/>
    </sheetView>
  </sheetViews>
  <sheetFormatPr baseColWidth="10" defaultColWidth="8.6328125" defaultRowHeight="14.5" x14ac:dyDescent="0.35"/>
  <cols>
    <col min="1" max="1" width="3" customWidth="1"/>
    <col min="2" max="2" width="6" customWidth="1"/>
    <col min="3" max="3" width="118" customWidth="1"/>
    <col min="4" max="4" width="3" customWidth="1"/>
  </cols>
  <sheetData>
    <row r="1" spans="1:4" ht="25.5" customHeight="1" x14ac:dyDescent="0.35">
      <c r="A1" s="6" t="s">
        <v>26</v>
      </c>
      <c r="B1" s="6"/>
      <c r="C1" s="6"/>
      <c r="D1" s="6"/>
    </row>
    <row r="2" spans="1:4" ht="19.5" customHeight="1" x14ac:dyDescent="0.35">
      <c r="A2" s="5" t="s">
        <v>48</v>
      </c>
      <c r="B2" s="5"/>
      <c r="C2" s="5"/>
      <c r="D2" s="5"/>
    </row>
    <row r="4" spans="1:4" ht="25.5" customHeight="1" x14ac:dyDescent="0.35">
      <c r="B4" s="3" t="s">
        <v>49</v>
      </c>
      <c r="C4" s="3"/>
    </row>
    <row r="6" spans="1:4" ht="21.75" customHeight="1" x14ac:dyDescent="0.35">
      <c r="B6" s="2" t="s">
        <v>50</v>
      </c>
      <c r="C6" s="2"/>
    </row>
    <row r="7" spans="1:4" ht="15" customHeight="1" x14ac:dyDescent="0.35">
      <c r="B7" s="30" t="s">
        <v>51</v>
      </c>
      <c r="C7" s="31" t="s">
        <v>52</v>
      </c>
    </row>
    <row r="8" spans="1:4" ht="25.5" customHeight="1" x14ac:dyDescent="0.35">
      <c r="B8" s="30" t="s">
        <v>51</v>
      </c>
      <c r="C8" s="31" t="s">
        <v>53</v>
      </c>
    </row>
    <row r="9" spans="1:4" ht="25.5" customHeight="1" x14ac:dyDescent="0.35">
      <c r="B9" s="30" t="s">
        <v>51</v>
      </c>
      <c r="C9" s="31" t="s">
        <v>54</v>
      </c>
    </row>
    <row r="10" spans="1:4" ht="25.5" customHeight="1" x14ac:dyDescent="0.35">
      <c r="B10" s="30" t="s">
        <v>51</v>
      </c>
      <c r="C10" s="31" t="s">
        <v>55</v>
      </c>
    </row>
    <row r="11" spans="1:4" ht="15" customHeight="1" x14ac:dyDescent="0.35">
      <c r="B11" s="30" t="s">
        <v>51</v>
      </c>
      <c r="C11" s="31" t="s">
        <v>56</v>
      </c>
    </row>
    <row r="12" spans="1:4" ht="25.5" customHeight="1" x14ac:dyDescent="0.35">
      <c r="B12" s="30" t="s">
        <v>51</v>
      </c>
      <c r="C12" s="31" t="s">
        <v>57</v>
      </c>
    </row>
    <row r="14" spans="1:4" ht="21.75" customHeight="1" x14ac:dyDescent="0.35">
      <c r="B14" s="2" t="s">
        <v>58</v>
      </c>
      <c r="C14" s="2"/>
    </row>
    <row r="15" spans="1:4" ht="25.5" customHeight="1" x14ac:dyDescent="0.35">
      <c r="B15" s="30" t="s">
        <v>51</v>
      </c>
      <c r="C15" s="31" t="s">
        <v>59</v>
      </c>
    </row>
    <row r="16" spans="1:4" ht="25.5" customHeight="1" x14ac:dyDescent="0.35">
      <c r="B16" s="30" t="s">
        <v>51</v>
      </c>
      <c r="C16" s="31" t="s">
        <v>60</v>
      </c>
    </row>
    <row r="17" spans="2:3" ht="15" customHeight="1" x14ac:dyDescent="0.35">
      <c r="B17" s="30" t="s">
        <v>51</v>
      </c>
      <c r="C17" s="31" t="s">
        <v>61</v>
      </c>
    </row>
    <row r="18" spans="2:3" ht="25.5" customHeight="1" x14ac:dyDescent="0.35">
      <c r="B18" s="30" t="s">
        <v>51</v>
      </c>
      <c r="C18" s="31" t="s">
        <v>62</v>
      </c>
    </row>
    <row r="19" spans="2:3" ht="25.5" customHeight="1" x14ac:dyDescent="0.35">
      <c r="B19" s="30" t="s">
        <v>51</v>
      </c>
      <c r="C19" s="31" t="s">
        <v>63</v>
      </c>
    </row>
    <row r="20" spans="2:3" ht="25.5" customHeight="1" x14ac:dyDescent="0.35">
      <c r="B20" s="30" t="s">
        <v>51</v>
      </c>
      <c r="C20" s="31" t="s">
        <v>64</v>
      </c>
    </row>
    <row r="21" spans="2:3" ht="15" customHeight="1" x14ac:dyDescent="0.35">
      <c r="B21" s="30" t="s">
        <v>51</v>
      </c>
      <c r="C21" s="31" t="s">
        <v>65</v>
      </c>
    </row>
    <row r="23" spans="2:3" ht="21.75" customHeight="1" x14ac:dyDescent="0.35">
      <c r="B23" s="2" t="s">
        <v>66</v>
      </c>
      <c r="C23" s="2"/>
    </row>
    <row r="24" spans="2:3" ht="25.5" customHeight="1" x14ac:dyDescent="0.35">
      <c r="B24" s="30" t="s">
        <v>51</v>
      </c>
      <c r="C24" s="31" t="s">
        <v>67</v>
      </c>
    </row>
    <row r="25" spans="2:3" ht="39" customHeight="1" x14ac:dyDescent="0.35">
      <c r="B25" s="30" t="s">
        <v>51</v>
      </c>
      <c r="C25" s="31" t="s">
        <v>68</v>
      </c>
    </row>
    <row r="26" spans="2:3" ht="25.5" customHeight="1" x14ac:dyDescent="0.35">
      <c r="B26" s="30" t="s">
        <v>51</v>
      </c>
      <c r="C26" s="31" t="s">
        <v>69</v>
      </c>
    </row>
    <row r="27" spans="2:3" ht="25.5" customHeight="1" x14ac:dyDescent="0.35">
      <c r="B27" s="30" t="s">
        <v>51</v>
      </c>
      <c r="C27" s="31" t="s">
        <v>70</v>
      </c>
    </row>
    <row r="28" spans="2:3" ht="25.5" customHeight="1" x14ac:dyDescent="0.35">
      <c r="B28" s="30" t="s">
        <v>51</v>
      </c>
      <c r="C28" s="31" t="s">
        <v>71</v>
      </c>
    </row>
    <row r="29" spans="2:3" ht="25.5" customHeight="1" x14ac:dyDescent="0.35">
      <c r="B29" s="30" t="s">
        <v>51</v>
      </c>
      <c r="C29" s="31" t="s">
        <v>72</v>
      </c>
    </row>
    <row r="30" spans="2:3" ht="25.5" customHeight="1" x14ac:dyDescent="0.35">
      <c r="B30" s="30" t="s">
        <v>51</v>
      </c>
      <c r="C30" s="31" t="s">
        <v>73</v>
      </c>
    </row>
    <row r="31" spans="2:3" ht="15" customHeight="1" x14ac:dyDescent="0.35">
      <c r="B31" s="30" t="s">
        <v>51</v>
      </c>
      <c r="C31" s="31" t="s">
        <v>74</v>
      </c>
    </row>
    <row r="33" spans="2:3" ht="21.75" customHeight="1" x14ac:dyDescent="0.35">
      <c r="B33" s="2" t="s">
        <v>75</v>
      </c>
      <c r="C33" s="2"/>
    </row>
    <row r="34" spans="2:3" ht="25.5" customHeight="1" x14ac:dyDescent="0.35">
      <c r="B34" s="30" t="s">
        <v>51</v>
      </c>
      <c r="C34" s="31" t="s">
        <v>76</v>
      </c>
    </row>
    <row r="35" spans="2:3" ht="25.5" customHeight="1" x14ac:dyDescent="0.35">
      <c r="B35" s="30" t="s">
        <v>51</v>
      </c>
      <c r="C35" s="31" t="s">
        <v>77</v>
      </c>
    </row>
    <row r="36" spans="2:3" ht="25.5" customHeight="1" x14ac:dyDescent="0.35">
      <c r="B36" s="30" t="s">
        <v>51</v>
      </c>
      <c r="C36" s="31" t="s">
        <v>78</v>
      </c>
    </row>
    <row r="37" spans="2:3" ht="25.5" customHeight="1" x14ac:dyDescent="0.35">
      <c r="B37" s="30" t="s">
        <v>51</v>
      </c>
      <c r="C37" s="31" t="s">
        <v>79</v>
      </c>
    </row>
    <row r="38" spans="2:3" ht="25.5" customHeight="1" x14ac:dyDescent="0.35">
      <c r="B38" s="30" t="s">
        <v>51</v>
      </c>
      <c r="C38" s="31" t="s">
        <v>80</v>
      </c>
    </row>
    <row r="39" spans="2:3" ht="15" customHeight="1" x14ac:dyDescent="0.35">
      <c r="B39" s="30" t="s">
        <v>51</v>
      </c>
      <c r="C39" s="31" t="s">
        <v>81</v>
      </c>
    </row>
    <row r="40" spans="2:3" ht="25.5" customHeight="1" x14ac:dyDescent="0.35">
      <c r="B40" s="30" t="s">
        <v>51</v>
      </c>
      <c r="C40" s="31" t="s">
        <v>82</v>
      </c>
    </row>
    <row r="41" spans="2:3" ht="25.5" customHeight="1" x14ac:dyDescent="0.35">
      <c r="B41" s="30" t="s">
        <v>51</v>
      </c>
      <c r="C41" s="31" t="s">
        <v>83</v>
      </c>
    </row>
    <row r="43" spans="2:3" ht="21.75" customHeight="1" x14ac:dyDescent="0.35">
      <c r="B43" s="2" t="s">
        <v>84</v>
      </c>
      <c r="C43" s="2"/>
    </row>
    <row r="44" spans="2:3" ht="25.5" customHeight="1" x14ac:dyDescent="0.35">
      <c r="B44" s="30" t="s">
        <v>51</v>
      </c>
      <c r="C44" s="31" t="s">
        <v>85</v>
      </c>
    </row>
    <row r="45" spans="2:3" ht="15" customHeight="1" x14ac:dyDescent="0.35">
      <c r="B45" s="30" t="s">
        <v>51</v>
      </c>
      <c r="C45" s="31" t="s">
        <v>86</v>
      </c>
    </row>
    <row r="46" spans="2:3" ht="25.5" customHeight="1" x14ac:dyDescent="0.35">
      <c r="B46" s="30" t="s">
        <v>51</v>
      </c>
      <c r="C46" s="31" t="s">
        <v>87</v>
      </c>
    </row>
    <row r="47" spans="2:3" ht="25.5" customHeight="1" x14ac:dyDescent="0.35">
      <c r="B47" s="30" t="s">
        <v>51</v>
      </c>
      <c r="C47" s="31" t="s">
        <v>88</v>
      </c>
    </row>
    <row r="48" spans="2:3" ht="25.5" customHeight="1" x14ac:dyDescent="0.35">
      <c r="B48" s="30" t="s">
        <v>51</v>
      </c>
      <c r="C48" s="31" t="s">
        <v>89</v>
      </c>
    </row>
    <row r="49" spans="2:3" ht="25.5" customHeight="1" x14ac:dyDescent="0.35">
      <c r="B49" s="30" t="s">
        <v>51</v>
      </c>
      <c r="C49" s="31" t="s">
        <v>90</v>
      </c>
    </row>
    <row r="50" spans="2:3" ht="25.5" customHeight="1" x14ac:dyDescent="0.35">
      <c r="B50" s="30" t="s">
        <v>51</v>
      </c>
      <c r="C50" s="31" t="s">
        <v>91</v>
      </c>
    </row>
    <row r="52" spans="2:3" ht="21.75" customHeight="1" x14ac:dyDescent="0.35">
      <c r="B52" s="2" t="s">
        <v>92</v>
      </c>
      <c r="C52" s="2"/>
    </row>
    <row r="53" spans="2:3" ht="39" customHeight="1" x14ac:dyDescent="0.35">
      <c r="B53" s="30" t="s">
        <v>51</v>
      </c>
      <c r="C53" s="31" t="s">
        <v>93</v>
      </c>
    </row>
    <row r="54" spans="2:3" ht="25.5" customHeight="1" x14ac:dyDescent="0.35">
      <c r="B54" s="30" t="s">
        <v>51</v>
      </c>
      <c r="C54" s="31" t="s">
        <v>94</v>
      </c>
    </row>
    <row r="55" spans="2:3" ht="25.5" customHeight="1" x14ac:dyDescent="0.35">
      <c r="B55" s="30" t="s">
        <v>51</v>
      </c>
      <c r="C55" s="31" t="s">
        <v>95</v>
      </c>
    </row>
    <row r="56" spans="2:3" ht="39" customHeight="1" x14ac:dyDescent="0.35">
      <c r="B56" s="30" t="s">
        <v>51</v>
      </c>
      <c r="C56" s="31" t="s">
        <v>96</v>
      </c>
    </row>
    <row r="57" spans="2:3" ht="25.5" customHeight="1" x14ac:dyDescent="0.35">
      <c r="B57" s="30" t="s">
        <v>51</v>
      </c>
      <c r="C57" s="31" t="s">
        <v>97</v>
      </c>
    </row>
    <row r="58" spans="2:3" ht="25.5" customHeight="1" x14ac:dyDescent="0.35">
      <c r="B58" s="30" t="s">
        <v>51</v>
      </c>
      <c r="C58" s="31" t="s">
        <v>98</v>
      </c>
    </row>
    <row r="60" spans="2:3" ht="21.75" customHeight="1" x14ac:dyDescent="0.35">
      <c r="B60" s="2" t="s">
        <v>99</v>
      </c>
      <c r="C60" s="2"/>
    </row>
    <row r="61" spans="2:3" ht="25.5" customHeight="1" x14ac:dyDescent="0.35">
      <c r="B61" s="30" t="s">
        <v>51</v>
      </c>
      <c r="C61" s="31" t="s">
        <v>100</v>
      </c>
    </row>
    <row r="62" spans="2:3" ht="25.5" customHeight="1" x14ac:dyDescent="0.35">
      <c r="B62" s="30" t="s">
        <v>51</v>
      </c>
      <c r="C62" s="31" t="s">
        <v>101</v>
      </c>
    </row>
    <row r="63" spans="2:3" ht="25.5" customHeight="1" x14ac:dyDescent="0.35">
      <c r="B63" s="30" t="s">
        <v>51</v>
      </c>
      <c r="C63" s="31" t="s">
        <v>102</v>
      </c>
    </row>
    <row r="64" spans="2:3" ht="25.5" customHeight="1" x14ac:dyDescent="0.35">
      <c r="B64" s="30" t="s">
        <v>51</v>
      </c>
      <c r="C64" s="31" t="s">
        <v>103</v>
      </c>
    </row>
    <row r="65" spans="2:3" ht="25.5" customHeight="1" x14ac:dyDescent="0.35">
      <c r="B65" s="30" t="s">
        <v>51</v>
      </c>
      <c r="C65" s="31" t="s">
        <v>104</v>
      </c>
    </row>
    <row r="67" spans="2:3" ht="21.75" customHeight="1" x14ac:dyDescent="0.35">
      <c r="B67" s="2" t="s">
        <v>105</v>
      </c>
      <c r="C67" s="2"/>
    </row>
    <row r="68" spans="2:3" ht="15" customHeight="1" x14ac:dyDescent="0.35">
      <c r="B68" s="30" t="s">
        <v>51</v>
      </c>
      <c r="C68" s="31" t="s">
        <v>106</v>
      </c>
    </row>
    <row r="69" spans="2:3" ht="25.5" customHeight="1" x14ac:dyDescent="0.35">
      <c r="B69" s="30" t="s">
        <v>51</v>
      </c>
      <c r="C69" s="31" t="s">
        <v>107</v>
      </c>
    </row>
    <row r="70" spans="2:3" ht="15" customHeight="1" x14ac:dyDescent="0.35">
      <c r="B70" s="30" t="s">
        <v>51</v>
      </c>
      <c r="C70" s="31" t="s">
        <v>108</v>
      </c>
    </row>
    <row r="71" spans="2:3" ht="25.5" customHeight="1" x14ac:dyDescent="0.35">
      <c r="B71" s="30" t="s">
        <v>51</v>
      </c>
      <c r="C71" s="31" t="s">
        <v>109</v>
      </c>
    </row>
  </sheetData>
  <mergeCells count="11">
    <mergeCell ref="B67:C67"/>
    <mergeCell ref="B23:C23"/>
    <mergeCell ref="B33:C33"/>
    <mergeCell ref="B43:C43"/>
    <mergeCell ref="B52:C52"/>
    <mergeCell ref="B60:C60"/>
    <mergeCell ref="A1:D1"/>
    <mergeCell ref="A2:D2"/>
    <mergeCell ref="B4:C4"/>
    <mergeCell ref="B6:C6"/>
    <mergeCell ref="B14:C1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9"/>
  <sheetViews>
    <sheetView showGridLines="0" zoomScaleNormal="100" workbookViewId="0">
      <selection sqref="A1:D1"/>
    </sheetView>
  </sheetViews>
  <sheetFormatPr baseColWidth="10" defaultColWidth="8.6328125" defaultRowHeight="14.5" x14ac:dyDescent="0.35"/>
  <cols>
    <col min="1" max="1" width="3" customWidth="1"/>
    <col min="2" max="2" width="6" customWidth="1"/>
    <col min="3" max="3" width="118" customWidth="1"/>
    <col min="4" max="4" width="3" customWidth="1"/>
  </cols>
  <sheetData>
    <row r="1" spans="1:4" ht="25.5" customHeight="1" x14ac:dyDescent="0.35">
      <c r="A1" s="6" t="s">
        <v>26</v>
      </c>
      <c r="B1" s="6"/>
      <c r="C1" s="6"/>
      <c r="D1" s="6"/>
    </row>
    <row r="2" spans="1:4" ht="19.5" customHeight="1" x14ac:dyDescent="0.35">
      <c r="A2" s="5" t="s">
        <v>110</v>
      </c>
      <c r="B2" s="5"/>
      <c r="C2" s="5"/>
      <c r="D2" s="5"/>
    </row>
    <row r="4" spans="1:4" ht="21.75" customHeight="1" x14ac:dyDescent="0.35">
      <c r="B4" s="2" t="s">
        <v>111</v>
      </c>
      <c r="C4" s="2"/>
    </row>
    <row r="5" spans="1:4" ht="25.5" customHeight="1" x14ac:dyDescent="0.35">
      <c r="B5" s="32" t="s">
        <v>112</v>
      </c>
      <c r="C5" s="31" t="s">
        <v>113</v>
      </c>
    </row>
    <row r="6" spans="1:4" ht="25.5" customHeight="1" x14ac:dyDescent="0.35">
      <c r="B6" s="32" t="s">
        <v>114</v>
      </c>
      <c r="C6" s="31" t="s">
        <v>115</v>
      </c>
    </row>
    <row r="7" spans="1:4" ht="25.5" customHeight="1" x14ac:dyDescent="0.35">
      <c r="B7" s="32" t="s">
        <v>116</v>
      </c>
      <c r="C7" s="31" t="s">
        <v>117</v>
      </c>
    </row>
    <row r="8" spans="1:4" ht="25.5" customHeight="1" x14ac:dyDescent="0.35">
      <c r="B8" s="32" t="s">
        <v>118</v>
      </c>
      <c r="C8" s="31" t="s">
        <v>119</v>
      </c>
    </row>
    <row r="9" spans="1:4" ht="15" customHeight="1" x14ac:dyDescent="0.35">
      <c r="B9" s="32" t="s">
        <v>120</v>
      </c>
      <c r="C9" s="31" t="s">
        <v>121</v>
      </c>
    </row>
    <row r="10" spans="1:4" ht="25.5" customHeight="1" x14ac:dyDescent="0.35">
      <c r="B10" s="32" t="s">
        <v>122</v>
      </c>
      <c r="C10" s="31" t="s">
        <v>123</v>
      </c>
    </row>
    <row r="11" spans="1:4" ht="25.5" customHeight="1" x14ac:dyDescent="0.35">
      <c r="B11" s="32" t="s">
        <v>124</v>
      </c>
      <c r="C11" s="31" t="s">
        <v>125</v>
      </c>
    </row>
    <row r="12" spans="1:4" ht="25.5" customHeight="1" x14ac:dyDescent="0.35">
      <c r="B12" s="32" t="s">
        <v>126</v>
      </c>
      <c r="C12" s="31" t="s">
        <v>127</v>
      </c>
    </row>
    <row r="13" spans="1:4" ht="25.5" customHeight="1" x14ac:dyDescent="0.35">
      <c r="B13" s="32" t="s">
        <v>128</v>
      </c>
      <c r="C13" s="31" t="s">
        <v>129</v>
      </c>
    </row>
    <row r="14" spans="1:4" ht="25.5" customHeight="1" x14ac:dyDescent="0.35">
      <c r="B14" s="32" t="s">
        <v>130</v>
      </c>
      <c r="C14" s="31" t="s">
        <v>131</v>
      </c>
    </row>
    <row r="15" spans="1:4" ht="15" customHeight="1" x14ac:dyDescent="0.35">
      <c r="B15" s="32" t="s">
        <v>132</v>
      </c>
      <c r="C15" s="31" t="s">
        <v>133</v>
      </c>
    </row>
    <row r="16" spans="1:4" ht="15" customHeight="1" x14ac:dyDescent="0.35">
      <c r="B16" s="32" t="s">
        <v>134</v>
      </c>
      <c r="C16" s="31" t="s">
        <v>135</v>
      </c>
    </row>
    <row r="18" spans="2:3" ht="21.75" customHeight="1" x14ac:dyDescent="0.35">
      <c r="B18" s="2" t="s">
        <v>136</v>
      </c>
      <c r="C18" s="2"/>
    </row>
    <row r="19" spans="2:3" ht="39" customHeight="1" x14ac:dyDescent="0.35">
      <c r="B19" s="32" t="s">
        <v>112</v>
      </c>
      <c r="C19" s="31" t="s">
        <v>137</v>
      </c>
    </row>
    <row r="20" spans="2:3" ht="39" customHeight="1" x14ac:dyDescent="0.35">
      <c r="B20" s="32" t="s">
        <v>114</v>
      </c>
      <c r="C20" s="31" t="s">
        <v>138</v>
      </c>
    </row>
    <row r="21" spans="2:3" ht="25.5" customHeight="1" x14ac:dyDescent="0.35">
      <c r="B21" s="32" t="s">
        <v>116</v>
      </c>
      <c r="C21" s="31" t="s">
        <v>139</v>
      </c>
    </row>
    <row r="22" spans="2:3" ht="25.5" customHeight="1" x14ac:dyDescent="0.35">
      <c r="B22" s="32" t="s">
        <v>118</v>
      </c>
      <c r="C22" s="31" t="s">
        <v>140</v>
      </c>
    </row>
    <row r="23" spans="2:3" ht="25.5" customHeight="1" x14ac:dyDescent="0.35">
      <c r="B23" s="32" t="s">
        <v>120</v>
      </c>
      <c r="C23" s="31" t="s">
        <v>141</v>
      </c>
    </row>
    <row r="24" spans="2:3" ht="25.5" customHeight="1" x14ac:dyDescent="0.35">
      <c r="B24" s="32" t="s">
        <v>122</v>
      </c>
      <c r="C24" s="31" t="s">
        <v>142</v>
      </c>
    </row>
    <row r="25" spans="2:3" ht="39" customHeight="1" x14ac:dyDescent="0.35">
      <c r="B25" s="32" t="s">
        <v>124</v>
      </c>
      <c r="C25" s="31" t="s">
        <v>143</v>
      </c>
    </row>
    <row r="26" spans="2:3" ht="25.5" customHeight="1" x14ac:dyDescent="0.35">
      <c r="B26" s="32" t="s">
        <v>126</v>
      </c>
      <c r="C26" s="31" t="s">
        <v>144</v>
      </c>
    </row>
    <row r="27" spans="2:3" ht="25.5" customHeight="1" x14ac:dyDescent="0.35">
      <c r="B27" s="32" t="s">
        <v>128</v>
      </c>
      <c r="C27" s="31" t="s">
        <v>145</v>
      </c>
    </row>
    <row r="28" spans="2:3" ht="15" customHeight="1" x14ac:dyDescent="0.35">
      <c r="B28" s="32" t="s">
        <v>130</v>
      </c>
      <c r="C28" s="31" t="s">
        <v>146</v>
      </c>
    </row>
    <row r="29" spans="2:3" ht="25.5" customHeight="1" x14ac:dyDescent="0.35">
      <c r="B29" s="32" t="s">
        <v>132</v>
      </c>
      <c r="C29" s="31" t="s">
        <v>147</v>
      </c>
    </row>
  </sheetData>
  <mergeCells count="4">
    <mergeCell ref="A1:D1"/>
    <mergeCell ref="A2:D2"/>
    <mergeCell ref="B4:C4"/>
    <mergeCell ref="B18:C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1"/>
  <sheetViews>
    <sheetView showGridLines="0" zoomScaleNormal="100" workbookViewId="0">
      <pane ySplit="5" topLeftCell="A114" activePane="bottomLeft" state="frozen"/>
      <selection pane="bottomLeft" activeCell="B80" sqref="B80"/>
    </sheetView>
  </sheetViews>
  <sheetFormatPr baseColWidth="10" defaultColWidth="8.6328125" defaultRowHeight="14.5" x14ac:dyDescent="0.35"/>
  <cols>
    <col min="1" max="1" width="11" customWidth="1"/>
    <col min="2" max="2" width="74" customWidth="1"/>
    <col min="3" max="3" width="8" customWidth="1"/>
    <col min="4" max="4" width="11" customWidth="1"/>
    <col min="5" max="7" width="13" customWidth="1"/>
    <col min="8" max="8" width="15" customWidth="1"/>
  </cols>
  <sheetData>
    <row r="1" spans="1:8" ht="25.5" customHeight="1" x14ac:dyDescent="0.35">
      <c r="A1" s="6" t="s">
        <v>26</v>
      </c>
      <c r="B1" s="6"/>
      <c r="C1" s="6"/>
      <c r="D1" s="6"/>
      <c r="E1" s="6"/>
      <c r="F1" s="6"/>
      <c r="G1" s="6"/>
      <c r="H1" s="6"/>
    </row>
    <row r="2" spans="1:8" ht="19.5" customHeight="1" x14ac:dyDescent="0.35">
      <c r="A2" s="5" t="s">
        <v>148</v>
      </c>
      <c r="B2" s="5"/>
      <c r="C2" s="5"/>
      <c r="D2" s="5"/>
      <c r="E2" s="5"/>
      <c r="F2" s="5"/>
      <c r="G2" s="5"/>
      <c r="H2" s="5"/>
    </row>
    <row r="3" spans="1:8" x14ac:dyDescent="0.35">
      <c r="A3" s="1" t="s">
        <v>149</v>
      </c>
      <c r="B3" s="1"/>
      <c r="C3" s="1"/>
      <c r="D3" s="1"/>
      <c r="E3" s="1"/>
      <c r="F3" s="1"/>
      <c r="G3" s="1"/>
      <c r="H3" s="1"/>
    </row>
    <row r="5" spans="1:8" ht="30" customHeight="1" x14ac:dyDescent="0.35">
      <c r="A5" s="33" t="s">
        <v>150</v>
      </c>
      <c r="B5" s="33" t="s">
        <v>151</v>
      </c>
      <c r="C5" s="33" t="s">
        <v>152</v>
      </c>
      <c r="D5" s="33" t="s">
        <v>153</v>
      </c>
      <c r="E5" s="33" t="s">
        <v>154</v>
      </c>
      <c r="F5" s="33" t="s">
        <v>155</v>
      </c>
      <c r="G5" s="33" t="s">
        <v>156</v>
      </c>
      <c r="H5" s="33" t="s">
        <v>157</v>
      </c>
    </row>
    <row r="6" spans="1:8" ht="19.5" customHeight="1" x14ac:dyDescent="0.35">
      <c r="A6" s="116" t="s">
        <v>158</v>
      </c>
      <c r="B6" s="116"/>
      <c r="C6" s="116"/>
      <c r="D6" s="116"/>
      <c r="E6" s="116"/>
      <c r="F6" s="116"/>
      <c r="G6" s="116"/>
      <c r="H6" s="116"/>
    </row>
    <row r="7" spans="1:8" ht="21.75" customHeight="1" x14ac:dyDescent="0.35">
      <c r="A7" s="34" t="s">
        <v>159</v>
      </c>
      <c r="B7" s="19" t="s">
        <v>160</v>
      </c>
      <c r="C7" s="20" t="s">
        <v>161</v>
      </c>
      <c r="D7" s="35">
        <v>1</v>
      </c>
      <c r="E7" s="36">
        <v>0</v>
      </c>
      <c r="F7" s="36">
        <v>46500</v>
      </c>
      <c r="G7" s="37">
        <f t="shared" ref="G7:G28" si="0">E7+F7</f>
        <v>46500</v>
      </c>
      <c r="H7" s="38">
        <f t="shared" ref="H7:H28" si="1">ROUND(D7*G7,2)</f>
        <v>46500</v>
      </c>
    </row>
    <row r="8" spans="1:8" ht="21.75" customHeight="1" x14ac:dyDescent="0.35">
      <c r="A8" s="39" t="s">
        <v>162</v>
      </c>
      <c r="B8" s="40" t="s">
        <v>163</v>
      </c>
      <c r="C8" s="41" t="s">
        <v>161</v>
      </c>
      <c r="D8" s="42">
        <v>1</v>
      </c>
      <c r="E8" s="36">
        <v>0</v>
      </c>
      <c r="F8" s="36">
        <v>18500</v>
      </c>
      <c r="G8" s="43">
        <f t="shared" si="0"/>
        <v>18500</v>
      </c>
      <c r="H8" s="44">
        <f t="shared" si="1"/>
        <v>18500</v>
      </c>
    </row>
    <row r="9" spans="1:8" ht="21.75" customHeight="1" x14ac:dyDescent="0.35">
      <c r="A9" s="34" t="s">
        <v>164</v>
      </c>
      <c r="B9" s="19" t="s">
        <v>165</v>
      </c>
      <c r="C9" s="20" t="s">
        <v>161</v>
      </c>
      <c r="D9" s="35">
        <v>1</v>
      </c>
      <c r="E9" s="36">
        <v>0</v>
      </c>
      <c r="F9" s="36">
        <v>12500</v>
      </c>
      <c r="G9" s="37">
        <f t="shared" si="0"/>
        <v>12500</v>
      </c>
      <c r="H9" s="38">
        <f t="shared" si="1"/>
        <v>12500</v>
      </c>
    </row>
    <row r="10" spans="1:8" ht="21.75" customHeight="1" x14ac:dyDescent="0.35">
      <c r="A10" s="39" t="s">
        <v>166</v>
      </c>
      <c r="B10" s="40" t="s">
        <v>167</v>
      </c>
      <c r="C10" s="41" t="s">
        <v>161</v>
      </c>
      <c r="D10" s="42">
        <v>1</v>
      </c>
      <c r="E10" s="36">
        <v>0</v>
      </c>
      <c r="F10" s="36">
        <v>14000</v>
      </c>
      <c r="G10" s="43">
        <f t="shared" si="0"/>
        <v>14000</v>
      </c>
      <c r="H10" s="44">
        <f t="shared" si="1"/>
        <v>14000</v>
      </c>
    </row>
    <row r="11" spans="1:8" ht="21.75" customHeight="1" x14ac:dyDescent="0.35">
      <c r="A11" s="34" t="s">
        <v>168</v>
      </c>
      <c r="B11" s="19" t="s">
        <v>169</v>
      </c>
      <c r="C11" s="20" t="s">
        <v>161</v>
      </c>
      <c r="D11" s="35">
        <v>1</v>
      </c>
      <c r="E11" s="36">
        <v>0</v>
      </c>
      <c r="F11" s="36">
        <v>16500</v>
      </c>
      <c r="G11" s="37">
        <f t="shared" si="0"/>
        <v>16500</v>
      </c>
      <c r="H11" s="38">
        <f t="shared" si="1"/>
        <v>16500</v>
      </c>
    </row>
    <row r="12" spans="1:8" ht="21.75" customHeight="1" x14ac:dyDescent="0.35">
      <c r="A12" s="39" t="s">
        <v>170</v>
      </c>
      <c r="B12" s="40" t="s">
        <v>171</v>
      </c>
      <c r="C12" s="41" t="s">
        <v>161</v>
      </c>
      <c r="D12" s="42">
        <v>1</v>
      </c>
      <c r="E12" s="36">
        <v>0</v>
      </c>
      <c r="F12" s="36">
        <v>9500</v>
      </c>
      <c r="G12" s="43">
        <f t="shared" si="0"/>
        <v>9500</v>
      </c>
      <c r="H12" s="44">
        <f t="shared" si="1"/>
        <v>9500</v>
      </c>
    </row>
    <row r="13" spans="1:8" ht="21.75" customHeight="1" x14ac:dyDescent="0.35">
      <c r="A13" s="34" t="s">
        <v>172</v>
      </c>
      <c r="B13" s="19" t="s">
        <v>173</v>
      </c>
      <c r="C13" s="20" t="s">
        <v>161</v>
      </c>
      <c r="D13" s="35">
        <v>1</v>
      </c>
      <c r="E13" s="36">
        <v>0</v>
      </c>
      <c r="F13" s="36">
        <v>14500</v>
      </c>
      <c r="G13" s="37">
        <f t="shared" si="0"/>
        <v>14500</v>
      </c>
      <c r="H13" s="38">
        <f t="shared" si="1"/>
        <v>14500</v>
      </c>
    </row>
    <row r="14" spans="1:8" ht="21.75" customHeight="1" x14ac:dyDescent="0.35">
      <c r="A14" s="39" t="s">
        <v>174</v>
      </c>
      <c r="B14" s="40" t="s">
        <v>175</v>
      </c>
      <c r="C14" s="41" t="s">
        <v>161</v>
      </c>
      <c r="D14" s="42">
        <v>1</v>
      </c>
      <c r="E14" s="36">
        <v>0</v>
      </c>
      <c r="F14" s="36">
        <v>8500</v>
      </c>
      <c r="G14" s="43">
        <f t="shared" si="0"/>
        <v>8500</v>
      </c>
      <c r="H14" s="44">
        <f t="shared" si="1"/>
        <v>8500</v>
      </c>
    </row>
    <row r="15" spans="1:8" ht="21.75" customHeight="1" x14ac:dyDescent="0.35">
      <c r="A15" s="34" t="s">
        <v>176</v>
      </c>
      <c r="B15" s="19" t="s">
        <v>177</v>
      </c>
      <c r="C15" s="20" t="s">
        <v>161</v>
      </c>
      <c r="D15" s="35">
        <v>1</v>
      </c>
      <c r="E15" s="36">
        <v>0</v>
      </c>
      <c r="F15" s="36">
        <v>26500</v>
      </c>
      <c r="G15" s="37">
        <f t="shared" si="0"/>
        <v>26500</v>
      </c>
      <c r="H15" s="38">
        <f t="shared" si="1"/>
        <v>26500</v>
      </c>
    </row>
    <row r="16" spans="1:8" ht="13.5" customHeight="1" x14ac:dyDescent="0.35">
      <c r="A16" s="39" t="s">
        <v>178</v>
      </c>
      <c r="B16" s="40" t="s">
        <v>179</v>
      </c>
      <c r="C16" s="41" t="s">
        <v>161</v>
      </c>
      <c r="D16" s="42">
        <v>1</v>
      </c>
      <c r="E16" s="36">
        <v>0</v>
      </c>
      <c r="F16" s="36">
        <v>6500</v>
      </c>
      <c r="G16" s="43">
        <f t="shared" si="0"/>
        <v>6500</v>
      </c>
      <c r="H16" s="44">
        <f t="shared" si="1"/>
        <v>6500</v>
      </c>
    </row>
    <row r="17" spans="1:8" ht="13.5" customHeight="1" x14ac:dyDescent="0.35">
      <c r="A17" s="34" t="s">
        <v>180</v>
      </c>
      <c r="B17" s="19" t="s">
        <v>181</v>
      </c>
      <c r="C17" s="20" t="s">
        <v>161</v>
      </c>
      <c r="D17" s="35">
        <v>1</v>
      </c>
      <c r="E17" s="36">
        <v>0</v>
      </c>
      <c r="F17" s="36">
        <v>7500</v>
      </c>
      <c r="G17" s="37">
        <f t="shared" si="0"/>
        <v>7500</v>
      </c>
      <c r="H17" s="38">
        <f t="shared" si="1"/>
        <v>7500</v>
      </c>
    </row>
    <row r="18" spans="1:8" ht="13.5" customHeight="1" x14ac:dyDescent="0.35">
      <c r="A18" s="39" t="s">
        <v>182</v>
      </c>
      <c r="B18" s="40" t="s">
        <v>183</v>
      </c>
      <c r="C18" s="41" t="s">
        <v>161</v>
      </c>
      <c r="D18" s="42">
        <v>1</v>
      </c>
      <c r="E18" s="36">
        <v>0</v>
      </c>
      <c r="F18" s="36">
        <v>4800</v>
      </c>
      <c r="G18" s="43">
        <f t="shared" si="0"/>
        <v>4800</v>
      </c>
      <c r="H18" s="44">
        <f t="shared" si="1"/>
        <v>4800</v>
      </c>
    </row>
    <row r="19" spans="1:8" ht="13.5" customHeight="1" x14ac:dyDescent="0.35">
      <c r="A19" s="34" t="s">
        <v>184</v>
      </c>
      <c r="B19" s="19" t="s">
        <v>185</v>
      </c>
      <c r="C19" s="20" t="s">
        <v>161</v>
      </c>
      <c r="D19" s="35">
        <v>1</v>
      </c>
      <c r="E19" s="36">
        <v>0</v>
      </c>
      <c r="F19" s="36">
        <v>6200</v>
      </c>
      <c r="G19" s="37">
        <f t="shared" si="0"/>
        <v>6200</v>
      </c>
      <c r="H19" s="38">
        <f t="shared" si="1"/>
        <v>6200</v>
      </c>
    </row>
    <row r="20" spans="1:8" ht="13.5" customHeight="1" x14ac:dyDescent="0.35">
      <c r="A20" s="39" t="s">
        <v>186</v>
      </c>
      <c r="B20" s="40" t="s">
        <v>187</v>
      </c>
      <c r="C20" s="41" t="s">
        <v>161</v>
      </c>
      <c r="D20" s="42">
        <v>1</v>
      </c>
      <c r="E20" s="36">
        <v>0</v>
      </c>
      <c r="F20" s="36">
        <v>5800</v>
      </c>
      <c r="G20" s="43">
        <f t="shared" si="0"/>
        <v>5800</v>
      </c>
      <c r="H20" s="44">
        <f t="shared" si="1"/>
        <v>5800</v>
      </c>
    </row>
    <row r="21" spans="1:8" ht="21.75" customHeight="1" x14ac:dyDescent="0.35">
      <c r="A21" s="34" t="s">
        <v>188</v>
      </c>
      <c r="B21" s="19" t="s">
        <v>189</v>
      </c>
      <c r="C21" s="20" t="s">
        <v>161</v>
      </c>
      <c r="D21" s="35">
        <v>1</v>
      </c>
      <c r="E21" s="36">
        <v>0</v>
      </c>
      <c r="F21" s="36">
        <v>8800</v>
      </c>
      <c r="G21" s="37">
        <f t="shared" si="0"/>
        <v>8800</v>
      </c>
      <c r="H21" s="38">
        <f t="shared" si="1"/>
        <v>8800</v>
      </c>
    </row>
    <row r="22" spans="1:8" ht="13.5" customHeight="1" x14ac:dyDescent="0.35">
      <c r="A22" s="39" t="s">
        <v>190</v>
      </c>
      <c r="B22" s="40" t="s">
        <v>191</v>
      </c>
      <c r="C22" s="41" t="s">
        <v>161</v>
      </c>
      <c r="D22" s="42">
        <v>1</v>
      </c>
      <c r="E22" s="36">
        <v>0</v>
      </c>
      <c r="F22" s="36">
        <v>9500</v>
      </c>
      <c r="G22" s="43">
        <f t="shared" si="0"/>
        <v>9500</v>
      </c>
      <c r="H22" s="44">
        <f t="shared" si="1"/>
        <v>9500</v>
      </c>
    </row>
    <row r="23" spans="1:8" ht="13.5" customHeight="1" x14ac:dyDescent="0.35">
      <c r="A23" s="34" t="s">
        <v>192</v>
      </c>
      <c r="B23" s="19" t="s">
        <v>193</v>
      </c>
      <c r="C23" s="20" t="s">
        <v>161</v>
      </c>
      <c r="D23" s="35">
        <v>1</v>
      </c>
      <c r="E23" s="36">
        <v>0</v>
      </c>
      <c r="F23" s="36">
        <v>5200</v>
      </c>
      <c r="G23" s="37">
        <f t="shared" si="0"/>
        <v>5200</v>
      </c>
      <c r="H23" s="38">
        <f t="shared" si="1"/>
        <v>5200</v>
      </c>
    </row>
    <row r="24" spans="1:8" ht="13.5" customHeight="1" x14ac:dyDescent="0.35">
      <c r="A24" s="39" t="s">
        <v>194</v>
      </c>
      <c r="B24" s="40" t="s">
        <v>195</v>
      </c>
      <c r="C24" s="41" t="s">
        <v>161</v>
      </c>
      <c r="D24" s="42">
        <v>1</v>
      </c>
      <c r="E24" s="36">
        <v>0</v>
      </c>
      <c r="F24" s="36">
        <v>11500</v>
      </c>
      <c r="G24" s="43">
        <f t="shared" si="0"/>
        <v>11500</v>
      </c>
      <c r="H24" s="44">
        <f t="shared" si="1"/>
        <v>11500</v>
      </c>
    </row>
    <row r="25" spans="1:8" ht="13.5" customHeight="1" x14ac:dyDescent="0.35">
      <c r="A25" s="34" t="s">
        <v>196</v>
      </c>
      <c r="B25" s="19" t="s">
        <v>197</v>
      </c>
      <c r="C25" s="20" t="s">
        <v>161</v>
      </c>
      <c r="D25" s="35">
        <v>1</v>
      </c>
      <c r="E25" s="36">
        <v>0</v>
      </c>
      <c r="F25" s="36">
        <v>7500</v>
      </c>
      <c r="G25" s="37">
        <f t="shared" si="0"/>
        <v>7500</v>
      </c>
      <c r="H25" s="38">
        <f t="shared" si="1"/>
        <v>7500</v>
      </c>
    </row>
    <row r="26" spans="1:8" ht="13.5" customHeight="1" x14ac:dyDescent="0.35">
      <c r="A26" s="39" t="s">
        <v>198</v>
      </c>
      <c r="B26" s="40" t="s">
        <v>199</v>
      </c>
      <c r="C26" s="41" t="s">
        <v>161</v>
      </c>
      <c r="D26" s="42">
        <v>1</v>
      </c>
      <c r="E26" s="36">
        <v>0</v>
      </c>
      <c r="F26" s="36">
        <v>9800</v>
      </c>
      <c r="G26" s="43">
        <f t="shared" si="0"/>
        <v>9800</v>
      </c>
      <c r="H26" s="44">
        <f t="shared" si="1"/>
        <v>9800</v>
      </c>
    </row>
    <row r="27" spans="1:8" ht="21.75" customHeight="1" x14ac:dyDescent="0.35">
      <c r="A27" s="34" t="s">
        <v>200</v>
      </c>
      <c r="B27" s="19" t="s">
        <v>201</v>
      </c>
      <c r="C27" s="20" t="s">
        <v>161</v>
      </c>
      <c r="D27" s="35">
        <v>1</v>
      </c>
      <c r="E27" s="36">
        <v>0</v>
      </c>
      <c r="F27" s="36">
        <v>12500</v>
      </c>
      <c r="G27" s="37">
        <f t="shared" si="0"/>
        <v>12500</v>
      </c>
      <c r="H27" s="38">
        <f t="shared" si="1"/>
        <v>12500</v>
      </c>
    </row>
    <row r="28" spans="1:8" ht="13.5" customHeight="1" x14ac:dyDescent="0.35">
      <c r="A28" s="39" t="s">
        <v>202</v>
      </c>
      <c r="B28" s="40" t="s">
        <v>203</v>
      </c>
      <c r="C28" s="41" t="s">
        <v>161</v>
      </c>
      <c r="D28" s="42">
        <v>1</v>
      </c>
      <c r="E28" s="36">
        <v>0</v>
      </c>
      <c r="F28" s="36">
        <v>4200</v>
      </c>
      <c r="G28" s="43">
        <f t="shared" si="0"/>
        <v>4200</v>
      </c>
      <c r="H28" s="44">
        <f t="shared" si="1"/>
        <v>4200</v>
      </c>
    </row>
    <row r="29" spans="1:8" ht="19.5" customHeight="1" x14ac:dyDescent="0.35">
      <c r="A29" s="24" t="s">
        <v>204</v>
      </c>
      <c r="B29" s="117" t="s">
        <v>205</v>
      </c>
      <c r="C29" s="117"/>
      <c r="D29" s="117"/>
      <c r="E29" s="117"/>
      <c r="F29" s="117"/>
      <c r="G29" s="117"/>
      <c r="H29" s="45">
        <f>SUM(H7:H28)</f>
        <v>266800</v>
      </c>
    </row>
    <row r="31" spans="1:8" ht="19.5" customHeight="1" x14ac:dyDescent="0.35">
      <c r="A31" s="116" t="s">
        <v>206</v>
      </c>
      <c r="B31" s="116"/>
      <c r="C31" s="116"/>
      <c r="D31" s="116"/>
      <c r="E31" s="116"/>
      <c r="F31" s="116"/>
      <c r="G31" s="116"/>
      <c r="H31" s="116"/>
    </row>
    <row r="32" spans="1:8" ht="21.75" customHeight="1" x14ac:dyDescent="0.35">
      <c r="A32" s="34" t="s">
        <v>207</v>
      </c>
      <c r="B32" s="19" t="s">
        <v>208</v>
      </c>
      <c r="C32" s="20" t="s">
        <v>209</v>
      </c>
      <c r="D32" s="35">
        <v>6.3860159999999997</v>
      </c>
      <c r="E32" s="36">
        <v>2350</v>
      </c>
      <c r="F32" s="36">
        <v>920</v>
      </c>
      <c r="G32" s="37">
        <f t="shared" ref="G32:G62" si="2">E32+F32</f>
        <v>3270</v>
      </c>
      <c r="H32" s="38">
        <f t="shared" ref="H32:H62" si="3">ROUND(D32*G32,2)</f>
        <v>20882.27</v>
      </c>
    </row>
    <row r="33" spans="1:8" ht="21.75" customHeight="1" x14ac:dyDescent="0.35">
      <c r="A33" s="39" t="s">
        <v>210</v>
      </c>
      <c r="B33" s="40" t="s">
        <v>211</v>
      </c>
      <c r="C33" s="41" t="s">
        <v>209</v>
      </c>
      <c r="D33" s="42">
        <v>21.728000000000002</v>
      </c>
      <c r="E33" s="36">
        <v>2280</v>
      </c>
      <c r="F33" s="36">
        <v>880</v>
      </c>
      <c r="G33" s="43">
        <f t="shared" si="2"/>
        <v>3160</v>
      </c>
      <c r="H33" s="44">
        <f t="shared" si="3"/>
        <v>68660.479999999996</v>
      </c>
    </row>
    <row r="34" spans="1:8" ht="21.75" customHeight="1" x14ac:dyDescent="0.35">
      <c r="A34" s="34" t="s">
        <v>212</v>
      </c>
      <c r="B34" s="19" t="s">
        <v>213</v>
      </c>
      <c r="C34" s="20" t="s">
        <v>209</v>
      </c>
      <c r="D34" s="35">
        <v>5.9260000000000002</v>
      </c>
      <c r="E34" s="36">
        <v>2420</v>
      </c>
      <c r="F34" s="36">
        <v>1120</v>
      </c>
      <c r="G34" s="37">
        <f t="shared" si="2"/>
        <v>3540</v>
      </c>
      <c r="H34" s="38">
        <f t="shared" si="3"/>
        <v>20978.04</v>
      </c>
    </row>
    <row r="35" spans="1:8" ht="21.75" customHeight="1" x14ac:dyDescent="0.35">
      <c r="A35" s="39" t="s">
        <v>214</v>
      </c>
      <c r="B35" s="40" t="s">
        <v>215</v>
      </c>
      <c r="C35" s="41" t="s">
        <v>209</v>
      </c>
      <c r="D35" s="42">
        <v>0.99475199999999997</v>
      </c>
      <c r="E35" s="36">
        <v>2650</v>
      </c>
      <c r="F35" s="36">
        <v>1450</v>
      </c>
      <c r="G35" s="43">
        <f t="shared" si="2"/>
        <v>4100</v>
      </c>
      <c r="H35" s="44">
        <f t="shared" si="3"/>
        <v>4078.48</v>
      </c>
    </row>
    <row r="36" spans="1:8" ht="21.75" customHeight="1" x14ac:dyDescent="0.35">
      <c r="A36" s="34" t="s">
        <v>216</v>
      </c>
      <c r="B36" s="19" t="s">
        <v>217</v>
      </c>
      <c r="C36" s="20" t="s">
        <v>218</v>
      </c>
      <c r="D36" s="35">
        <v>388</v>
      </c>
      <c r="E36" s="36">
        <v>4.5999999999999996</v>
      </c>
      <c r="F36" s="36">
        <v>3.1</v>
      </c>
      <c r="G36" s="37">
        <f t="shared" si="2"/>
        <v>7.6999999999999993</v>
      </c>
      <c r="H36" s="38">
        <f t="shared" si="3"/>
        <v>2987.6</v>
      </c>
    </row>
    <row r="37" spans="1:8" ht="21.75" customHeight="1" x14ac:dyDescent="0.35">
      <c r="A37" s="39" t="s">
        <v>219</v>
      </c>
      <c r="B37" s="40" t="s">
        <v>220</v>
      </c>
      <c r="C37" s="41" t="s">
        <v>221</v>
      </c>
      <c r="D37" s="42">
        <v>159.5</v>
      </c>
      <c r="E37" s="36">
        <v>23.5</v>
      </c>
      <c r="F37" s="36">
        <v>29.5</v>
      </c>
      <c r="G37" s="43">
        <f t="shared" si="2"/>
        <v>53</v>
      </c>
      <c r="H37" s="44">
        <f t="shared" si="3"/>
        <v>8453.5</v>
      </c>
    </row>
    <row r="38" spans="1:8" ht="21.75" customHeight="1" x14ac:dyDescent="0.35">
      <c r="A38" s="34" t="s">
        <v>222</v>
      </c>
      <c r="B38" s="19" t="s">
        <v>223</v>
      </c>
      <c r="C38" s="20" t="s">
        <v>221</v>
      </c>
      <c r="D38" s="35">
        <v>200.8272</v>
      </c>
      <c r="E38" s="36">
        <v>27</v>
      </c>
      <c r="F38" s="36">
        <v>25</v>
      </c>
      <c r="G38" s="37">
        <f t="shared" si="2"/>
        <v>52</v>
      </c>
      <c r="H38" s="38">
        <f t="shared" si="3"/>
        <v>10443.01</v>
      </c>
    </row>
    <row r="39" spans="1:8" ht="33" customHeight="1" x14ac:dyDescent="0.35">
      <c r="A39" s="39" t="s">
        <v>224</v>
      </c>
      <c r="B39" s="40" t="s">
        <v>225</v>
      </c>
      <c r="C39" s="41" t="s">
        <v>221</v>
      </c>
      <c r="D39" s="42">
        <v>1127.992</v>
      </c>
      <c r="E39" s="36">
        <v>118</v>
      </c>
      <c r="F39" s="36">
        <v>44</v>
      </c>
      <c r="G39" s="43">
        <f t="shared" si="2"/>
        <v>162</v>
      </c>
      <c r="H39" s="44">
        <f t="shared" si="3"/>
        <v>182734.7</v>
      </c>
    </row>
    <row r="40" spans="1:8" ht="21.75" customHeight="1" x14ac:dyDescent="0.35">
      <c r="A40" s="34" t="s">
        <v>226</v>
      </c>
      <c r="B40" s="19" t="s">
        <v>227</v>
      </c>
      <c r="C40" s="20" t="s">
        <v>228</v>
      </c>
      <c r="D40" s="35">
        <v>73.234800000000007</v>
      </c>
      <c r="E40" s="36">
        <v>49</v>
      </c>
      <c r="F40" s="36">
        <v>23</v>
      </c>
      <c r="G40" s="37">
        <f t="shared" si="2"/>
        <v>72</v>
      </c>
      <c r="H40" s="38">
        <f t="shared" si="3"/>
        <v>5272.91</v>
      </c>
    </row>
    <row r="41" spans="1:8" ht="21.75" customHeight="1" x14ac:dyDescent="0.35">
      <c r="A41" s="39" t="s">
        <v>229</v>
      </c>
      <c r="B41" s="40" t="s">
        <v>230</v>
      </c>
      <c r="C41" s="41" t="s">
        <v>221</v>
      </c>
      <c r="D41" s="42">
        <v>61.802999999999997</v>
      </c>
      <c r="E41" s="36">
        <v>28.5</v>
      </c>
      <c r="F41" s="36">
        <v>23</v>
      </c>
      <c r="G41" s="43">
        <f t="shared" si="2"/>
        <v>51.5</v>
      </c>
      <c r="H41" s="44">
        <f t="shared" si="3"/>
        <v>3182.85</v>
      </c>
    </row>
    <row r="42" spans="1:8" ht="21.75" customHeight="1" x14ac:dyDescent="0.35">
      <c r="A42" s="34" t="s">
        <v>231</v>
      </c>
      <c r="B42" s="19" t="s">
        <v>232</v>
      </c>
      <c r="C42" s="20" t="s">
        <v>221</v>
      </c>
      <c r="D42" s="35">
        <v>1.2</v>
      </c>
      <c r="E42" s="36">
        <v>68</v>
      </c>
      <c r="F42" s="36">
        <v>32</v>
      </c>
      <c r="G42" s="37">
        <f t="shared" si="2"/>
        <v>100</v>
      </c>
      <c r="H42" s="38">
        <f t="shared" si="3"/>
        <v>120</v>
      </c>
    </row>
    <row r="43" spans="1:8" ht="21.75" customHeight="1" x14ac:dyDescent="0.35">
      <c r="A43" s="39" t="s">
        <v>233</v>
      </c>
      <c r="B43" s="40" t="s">
        <v>234</v>
      </c>
      <c r="C43" s="41" t="s">
        <v>221</v>
      </c>
      <c r="D43" s="42">
        <v>646.32749999999999</v>
      </c>
      <c r="E43" s="36">
        <v>59</v>
      </c>
      <c r="F43" s="36">
        <v>39</v>
      </c>
      <c r="G43" s="43">
        <f t="shared" si="2"/>
        <v>98</v>
      </c>
      <c r="H43" s="44">
        <f t="shared" si="3"/>
        <v>63340.1</v>
      </c>
    </row>
    <row r="44" spans="1:8" ht="21.75" customHeight="1" x14ac:dyDescent="0.35">
      <c r="A44" s="34" t="s">
        <v>235</v>
      </c>
      <c r="B44" s="19" t="s">
        <v>236</v>
      </c>
      <c r="C44" s="20" t="s">
        <v>221</v>
      </c>
      <c r="D44" s="35">
        <v>119.4165</v>
      </c>
      <c r="E44" s="36">
        <v>33</v>
      </c>
      <c r="F44" s="36">
        <v>22</v>
      </c>
      <c r="G44" s="37">
        <f t="shared" si="2"/>
        <v>55</v>
      </c>
      <c r="H44" s="38">
        <f t="shared" si="3"/>
        <v>6567.91</v>
      </c>
    </row>
    <row r="45" spans="1:8" ht="21.75" customHeight="1" x14ac:dyDescent="0.35">
      <c r="A45" s="39" t="s">
        <v>237</v>
      </c>
      <c r="B45" s="40" t="s">
        <v>238</v>
      </c>
      <c r="C45" s="41" t="s">
        <v>161</v>
      </c>
      <c r="D45" s="42">
        <v>1</v>
      </c>
      <c r="E45" s="36">
        <v>4500</v>
      </c>
      <c r="F45" s="36">
        <v>0</v>
      </c>
      <c r="G45" s="43">
        <f t="shared" si="2"/>
        <v>4500</v>
      </c>
      <c r="H45" s="44">
        <f t="shared" si="3"/>
        <v>4500</v>
      </c>
    </row>
    <row r="46" spans="1:8" ht="21.75" customHeight="1" x14ac:dyDescent="0.35">
      <c r="A46" s="34" t="s">
        <v>239</v>
      </c>
      <c r="B46" s="19" t="s">
        <v>240</v>
      </c>
      <c r="C46" s="20" t="s">
        <v>221</v>
      </c>
      <c r="D46" s="35">
        <v>805.65449999999998</v>
      </c>
      <c r="E46" s="36">
        <v>98</v>
      </c>
      <c r="F46" s="36">
        <v>42</v>
      </c>
      <c r="G46" s="37">
        <f t="shared" si="2"/>
        <v>140</v>
      </c>
      <c r="H46" s="38">
        <f t="shared" si="3"/>
        <v>112791.63</v>
      </c>
    </row>
    <row r="47" spans="1:8" ht="21.75" customHeight="1" x14ac:dyDescent="0.35">
      <c r="A47" s="39" t="s">
        <v>241</v>
      </c>
      <c r="B47" s="40" t="s">
        <v>242</v>
      </c>
      <c r="C47" s="41" t="s">
        <v>221</v>
      </c>
      <c r="D47" s="42">
        <v>61.802999999999997</v>
      </c>
      <c r="E47" s="36">
        <v>35</v>
      </c>
      <c r="F47" s="36">
        <v>19</v>
      </c>
      <c r="G47" s="43">
        <f t="shared" si="2"/>
        <v>54</v>
      </c>
      <c r="H47" s="44">
        <f t="shared" si="3"/>
        <v>3337.36</v>
      </c>
    </row>
    <row r="48" spans="1:8" ht="21.75" customHeight="1" x14ac:dyDescent="0.35">
      <c r="A48" s="34" t="s">
        <v>243</v>
      </c>
      <c r="B48" s="19" t="s">
        <v>244</v>
      </c>
      <c r="C48" s="20" t="s">
        <v>161</v>
      </c>
      <c r="D48" s="35">
        <v>1</v>
      </c>
      <c r="E48" s="36">
        <v>3200</v>
      </c>
      <c r="F48" s="36">
        <v>0</v>
      </c>
      <c r="G48" s="37">
        <f t="shared" si="2"/>
        <v>3200</v>
      </c>
      <c r="H48" s="38">
        <f t="shared" si="3"/>
        <v>3200</v>
      </c>
    </row>
    <row r="49" spans="1:8" ht="21.75" customHeight="1" x14ac:dyDescent="0.35">
      <c r="A49" s="39" t="s">
        <v>245</v>
      </c>
      <c r="B49" s="40" t="s">
        <v>246</v>
      </c>
      <c r="C49" s="41" t="s">
        <v>247</v>
      </c>
      <c r="D49" s="42">
        <v>6</v>
      </c>
      <c r="E49" s="36">
        <v>2850</v>
      </c>
      <c r="F49" s="36">
        <v>460</v>
      </c>
      <c r="G49" s="43">
        <f t="shared" si="2"/>
        <v>3310</v>
      </c>
      <c r="H49" s="44">
        <f t="shared" si="3"/>
        <v>19860</v>
      </c>
    </row>
    <row r="50" spans="1:8" ht="21.75" customHeight="1" x14ac:dyDescent="0.35">
      <c r="A50" s="34" t="s">
        <v>248</v>
      </c>
      <c r="B50" s="19" t="s">
        <v>249</v>
      </c>
      <c r="C50" s="20" t="s">
        <v>247</v>
      </c>
      <c r="D50" s="35">
        <v>3</v>
      </c>
      <c r="E50" s="36">
        <v>3600</v>
      </c>
      <c r="F50" s="36">
        <v>560</v>
      </c>
      <c r="G50" s="37">
        <f t="shared" si="2"/>
        <v>4160</v>
      </c>
      <c r="H50" s="38">
        <f t="shared" si="3"/>
        <v>12480</v>
      </c>
    </row>
    <row r="51" spans="1:8" ht="21.75" customHeight="1" x14ac:dyDescent="0.35">
      <c r="A51" s="39" t="s">
        <v>250</v>
      </c>
      <c r="B51" s="40" t="s">
        <v>251</v>
      </c>
      <c r="C51" s="41" t="s">
        <v>247</v>
      </c>
      <c r="D51" s="42">
        <v>3</v>
      </c>
      <c r="E51" s="36">
        <v>1750</v>
      </c>
      <c r="F51" s="36">
        <v>360</v>
      </c>
      <c r="G51" s="43">
        <f t="shared" si="2"/>
        <v>2110</v>
      </c>
      <c r="H51" s="44">
        <f t="shared" si="3"/>
        <v>6330</v>
      </c>
    </row>
    <row r="52" spans="1:8" ht="21.75" customHeight="1" x14ac:dyDescent="0.35">
      <c r="A52" s="34" t="s">
        <v>252</v>
      </c>
      <c r="B52" s="19" t="s">
        <v>253</v>
      </c>
      <c r="C52" s="20" t="s">
        <v>247</v>
      </c>
      <c r="D52" s="35">
        <v>3</v>
      </c>
      <c r="E52" s="36">
        <v>630</v>
      </c>
      <c r="F52" s="36">
        <v>185</v>
      </c>
      <c r="G52" s="37">
        <f t="shared" si="2"/>
        <v>815</v>
      </c>
      <c r="H52" s="38">
        <f t="shared" si="3"/>
        <v>2445</v>
      </c>
    </row>
    <row r="53" spans="1:8" ht="21.75" customHeight="1" x14ac:dyDescent="0.35">
      <c r="A53" s="39" t="s">
        <v>254</v>
      </c>
      <c r="B53" s="40" t="s">
        <v>255</v>
      </c>
      <c r="C53" s="41" t="s">
        <v>247</v>
      </c>
      <c r="D53" s="42">
        <v>1</v>
      </c>
      <c r="E53" s="36">
        <v>570</v>
      </c>
      <c r="F53" s="36">
        <v>175</v>
      </c>
      <c r="G53" s="43">
        <f t="shared" si="2"/>
        <v>745</v>
      </c>
      <c r="H53" s="44">
        <f t="shared" si="3"/>
        <v>745</v>
      </c>
    </row>
    <row r="54" spans="1:8" ht="21.75" customHeight="1" x14ac:dyDescent="0.35">
      <c r="A54" s="34" t="s">
        <v>256</v>
      </c>
      <c r="B54" s="19" t="s">
        <v>257</v>
      </c>
      <c r="C54" s="20" t="s">
        <v>247</v>
      </c>
      <c r="D54" s="35">
        <v>3</v>
      </c>
      <c r="E54" s="36">
        <v>790</v>
      </c>
      <c r="F54" s="36">
        <v>225</v>
      </c>
      <c r="G54" s="37">
        <f t="shared" si="2"/>
        <v>1015</v>
      </c>
      <c r="H54" s="38">
        <f t="shared" si="3"/>
        <v>3045</v>
      </c>
    </row>
    <row r="55" spans="1:8" ht="21.75" customHeight="1" x14ac:dyDescent="0.35">
      <c r="A55" s="39" t="s">
        <v>258</v>
      </c>
      <c r="B55" s="40" t="s">
        <v>259</v>
      </c>
      <c r="C55" s="41" t="s">
        <v>247</v>
      </c>
      <c r="D55" s="42">
        <v>1</v>
      </c>
      <c r="E55" s="36">
        <v>490</v>
      </c>
      <c r="F55" s="36">
        <v>165</v>
      </c>
      <c r="G55" s="43">
        <f t="shared" si="2"/>
        <v>655</v>
      </c>
      <c r="H55" s="44">
        <f t="shared" si="3"/>
        <v>655</v>
      </c>
    </row>
    <row r="56" spans="1:8" ht="21.75" customHeight="1" x14ac:dyDescent="0.35">
      <c r="A56" s="34" t="s">
        <v>260</v>
      </c>
      <c r="B56" s="19" t="s">
        <v>261</v>
      </c>
      <c r="C56" s="20" t="s">
        <v>218</v>
      </c>
      <c r="D56" s="35">
        <v>1</v>
      </c>
      <c r="E56" s="36">
        <v>1480</v>
      </c>
      <c r="F56" s="36">
        <v>390</v>
      </c>
      <c r="G56" s="37">
        <f t="shared" si="2"/>
        <v>1870</v>
      </c>
      <c r="H56" s="38">
        <f t="shared" si="3"/>
        <v>1870</v>
      </c>
    </row>
    <row r="57" spans="1:8" ht="21.75" customHeight="1" x14ac:dyDescent="0.35">
      <c r="A57" s="39" t="s">
        <v>262</v>
      </c>
      <c r="B57" s="40" t="s">
        <v>263</v>
      </c>
      <c r="C57" s="41" t="s">
        <v>218</v>
      </c>
      <c r="D57" s="42">
        <v>1</v>
      </c>
      <c r="E57" s="36">
        <v>640</v>
      </c>
      <c r="F57" s="36">
        <v>190</v>
      </c>
      <c r="G57" s="43">
        <f t="shared" si="2"/>
        <v>830</v>
      </c>
      <c r="H57" s="44">
        <f t="shared" si="3"/>
        <v>830</v>
      </c>
    </row>
    <row r="58" spans="1:8" ht="21.75" customHeight="1" x14ac:dyDescent="0.35">
      <c r="A58" s="34" t="s">
        <v>264</v>
      </c>
      <c r="B58" s="19" t="s">
        <v>265</v>
      </c>
      <c r="C58" s="20" t="s">
        <v>221</v>
      </c>
      <c r="D58" s="35">
        <v>33.911999999999999</v>
      </c>
      <c r="E58" s="36">
        <v>148</v>
      </c>
      <c r="F58" s="36">
        <v>46</v>
      </c>
      <c r="G58" s="37">
        <f t="shared" si="2"/>
        <v>194</v>
      </c>
      <c r="H58" s="38">
        <f t="shared" si="3"/>
        <v>6578.93</v>
      </c>
    </row>
    <row r="59" spans="1:8" ht="21.75" customHeight="1" x14ac:dyDescent="0.35">
      <c r="A59" s="39" t="s">
        <v>266</v>
      </c>
      <c r="B59" s="40" t="s">
        <v>267</v>
      </c>
      <c r="C59" s="41" t="s">
        <v>218</v>
      </c>
      <c r="D59" s="42">
        <v>1</v>
      </c>
      <c r="E59" s="36">
        <v>330</v>
      </c>
      <c r="F59" s="36">
        <v>95</v>
      </c>
      <c r="G59" s="43">
        <f t="shared" si="2"/>
        <v>425</v>
      </c>
      <c r="H59" s="44">
        <f t="shared" si="3"/>
        <v>425</v>
      </c>
    </row>
    <row r="60" spans="1:8" ht="21.75" customHeight="1" x14ac:dyDescent="0.35">
      <c r="A60" s="34" t="s">
        <v>268</v>
      </c>
      <c r="B60" s="19" t="s">
        <v>269</v>
      </c>
      <c r="C60" s="20" t="s">
        <v>247</v>
      </c>
      <c r="D60" s="35">
        <v>6</v>
      </c>
      <c r="E60" s="36">
        <v>23</v>
      </c>
      <c r="F60" s="36">
        <v>9</v>
      </c>
      <c r="G60" s="37">
        <f t="shared" si="2"/>
        <v>32</v>
      </c>
      <c r="H60" s="38">
        <f t="shared" si="3"/>
        <v>192</v>
      </c>
    </row>
    <row r="61" spans="1:8" ht="21.75" customHeight="1" x14ac:dyDescent="0.35">
      <c r="A61" s="39" t="s">
        <v>270</v>
      </c>
      <c r="B61" s="40" t="s">
        <v>271</v>
      </c>
      <c r="C61" s="41" t="s">
        <v>247</v>
      </c>
      <c r="D61" s="42">
        <v>6</v>
      </c>
      <c r="E61" s="36">
        <v>39</v>
      </c>
      <c r="F61" s="36">
        <v>11</v>
      </c>
      <c r="G61" s="43">
        <f t="shared" si="2"/>
        <v>50</v>
      </c>
      <c r="H61" s="44">
        <f t="shared" si="3"/>
        <v>300</v>
      </c>
    </row>
    <row r="62" spans="1:8" ht="33" customHeight="1" x14ac:dyDescent="0.35">
      <c r="A62" s="34" t="s">
        <v>272</v>
      </c>
      <c r="B62" s="19" t="s">
        <v>273</v>
      </c>
      <c r="C62" s="20" t="s">
        <v>161</v>
      </c>
      <c r="D62" s="35">
        <v>1</v>
      </c>
      <c r="E62" s="36">
        <v>0</v>
      </c>
      <c r="F62" s="36">
        <v>29500</v>
      </c>
      <c r="G62" s="37">
        <f t="shared" si="2"/>
        <v>29500</v>
      </c>
      <c r="H62" s="38">
        <f t="shared" si="3"/>
        <v>29500</v>
      </c>
    </row>
    <row r="63" spans="1:8" ht="19.5" customHeight="1" x14ac:dyDescent="0.35">
      <c r="A63" s="24" t="s">
        <v>274</v>
      </c>
      <c r="B63" s="117" t="s">
        <v>275</v>
      </c>
      <c r="C63" s="117"/>
      <c r="D63" s="117"/>
      <c r="E63" s="117"/>
      <c r="F63" s="117"/>
      <c r="G63" s="117"/>
      <c r="H63" s="45">
        <f>SUM(H32:H62)</f>
        <v>606786.7699999999</v>
      </c>
    </row>
    <row r="65" spans="1:8" ht="19.5" customHeight="1" x14ac:dyDescent="0.35">
      <c r="A65" s="116" t="s">
        <v>276</v>
      </c>
      <c r="B65" s="116"/>
      <c r="C65" s="116"/>
      <c r="D65" s="116"/>
      <c r="E65" s="116"/>
      <c r="F65" s="116"/>
      <c r="G65" s="116"/>
      <c r="H65" s="116"/>
    </row>
    <row r="66" spans="1:8" ht="21.75" customHeight="1" x14ac:dyDescent="0.35">
      <c r="A66" s="34" t="s">
        <v>277</v>
      </c>
      <c r="B66" s="19" t="s">
        <v>278</v>
      </c>
      <c r="C66" s="20" t="s">
        <v>218</v>
      </c>
      <c r="D66" s="35">
        <v>12</v>
      </c>
      <c r="E66" s="36">
        <v>1180</v>
      </c>
      <c r="F66" s="36">
        <v>270</v>
      </c>
      <c r="G66" s="37">
        <f t="shared" ref="G66:G97" si="4">E66+F66</f>
        <v>1450</v>
      </c>
      <c r="H66" s="38">
        <f t="shared" ref="H66:H97" si="5">ROUND(D66*G66,2)</f>
        <v>17400</v>
      </c>
    </row>
    <row r="67" spans="1:8" ht="21.75" customHeight="1" x14ac:dyDescent="0.35">
      <c r="A67" s="39" t="s">
        <v>279</v>
      </c>
      <c r="B67" s="40" t="s">
        <v>280</v>
      </c>
      <c r="C67" s="41" t="s">
        <v>218</v>
      </c>
      <c r="D67" s="42">
        <v>1</v>
      </c>
      <c r="E67" s="36">
        <v>1420</v>
      </c>
      <c r="F67" s="36">
        <v>295</v>
      </c>
      <c r="G67" s="43">
        <f t="shared" si="4"/>
        <v>1715</v>
      </c>
      <c r="H67" s="44">
        <f t="shared" si="5"/>
        <v>1715</v>
      </c>
    </row>
    <row r="68" spans="1:8" ht="21.75" customHeight="1" x14ac:dyDescent="0.35">
      <c r="A68" s="34" t="s">
        <v>281</v>
      </c>
      <c r="B68" s="19" t="s">
        <v>282</v>
      </c>
      <c r="C68" s="20" t="s">
        <v>218</v>
      </c>
      <c r="D68" s="35">
        <v>1</v>
      </c>
      <c r="E68" s="36">
        <v>985</v>
      </c>
      <c r="F68" s="36">
        <v>225</v>
      </c>
      <c r="G68" s="37">
        <f t="shared" si="4"/>
        <v>1210</v>
      </c>
      <c r="H68" s="38">
        <f t="shared" si="5"/>
        <v>1210</v>
      </c>
    </row>
    <row r="69" spans="1:8" ht="21.75" customHeight="1" x14ac:dyDescent="0.35">
      <c r="A69" s="39" t="s">
        <v>283</v>
      </c>
      <c r="B69" s="40" t="s">
        <v>284</v>
      </c>
      <c r="C69" s="41" t="s">
        <v>218</v>
      </c>
      <c r="D69" s="42">
        <v>1</v>
      </c>
      <c r="E69" s="36">
        <v>36500</v>
      </c>
      <c r="F69" s="36">
        <v>4300</v>
      </c>
      <c r="G69" s="43">
        <f t="shared" si="4"/>
        <v>40800</v>
      </c>
      <c r="H69" s="44">
        <f t="shared" si="5"/>
        <v>40800</v>
      </c>
    </row>
    <row r="70" spans="1:8" ht="13.5" customHeight="1" x14ac:dyDescent="0.35">
      <c r="A70" s="34" t="s">
        <v>285</v>
      </c>
      <c r="B70" s="19" t="s">
        <v>286</v>
      </c>
      <c r="C70" s="20" t="s">
        <v>247</v>
      </c>
      <c r="D70" s="35">
        <v>14</v>
      </c>
      <c r="E70" s="36">
        <v>148</v>
      </c>
      <c r="F70" s="36">
        <v>46</v>
      </c>
      <c r="G70" s="37">
        <f t="shared" si="4"/>
        <v>194</v>
      </c>
      <c r="H70" s="38">
        <f t="shared" si="5"/>
        <v>2716</v>
      </c>
    </row>
    <row r="71" spans="1:8" ht="13.5" customHeight="1" x14ac:dyDescent="0.35">
      <c r="A71" s="39" t="s">
        <v>287</v>
      </c>
      <c r="B71" s="40" t="s">
        <v>288</v>
      </c>
      <c r="C71" s="41" t="s">
        <v>247</v>
      </c>
      <c r="D71" s="42">
        <v>5</v>
      </c>
      <c r="E71" s="36">
        <v>168</v>
      </c>
      <c r="F71" s="36">
        <v>56</v>
      </c>
      <c r="G71" s="43">
        <f t="shared" si="4"/>
        <v>224</v>
      </c>
      <c r="H71" s="44">
        <f t="shared" si="5"/>
        <v>1120</v>
      </c>
    </row>
    <row r="72" spans="1:8" ht="13.5" customHeight="1" x14ac:dyDescent="0.35">
      <c r="A72" s="34" t="s">
        <v>289</v>
      </c>
      <c r="B72" s="19" t="s">
        <v>290</v>
      </c>
      <c r="C72" s="20" t="s">
        <v>247</v>
      </c>
      <c r="D72" s="35">
        <v>2</v>
      </c>
      <c r="E72" s="36">
        <v>218</v>
      </c>
      <c r="F72" s="36">
        <v>66</v>
      </c>
      <c r="G72" s="37">
        <f t="shared" si="4"/>
        <v>284</v>
      </c>
      <c r="H72" s="38">
        <f t="shared" si="5"/>
        <v>568</v>
      </c>
    </row>
    <row r="73" spans="1:8" ht="13.5" customHeight="1" x14ac:dyDescent="0.35">
      <c r="A73" s="39" t="s">
        <v>291</v>
      </c>
      <c r="B73" s="40" t="s">
        <v>292</v>
      </c>
      <c r="C73" s="41" t="s">
        <v>247</v>
      </c>
      <c r="D73" s="42">
        <v>4</v>
      </c>
      <c r="E73" s="36">
        <v>288</v>
      </c>
      <c r="F73" s="36">
        <v>76</v>
      </c>
      <c r="G73" s="43">
        <f t="shared" si="4"/>
        <v>364</v>
      </c>
      <c r="H73" s="44">
        <f t="shared" si="5"/>
        <v>1456</v>
      </c>
    </row>
    <row r="74" spans="1:8" ht="13.5" customHeight="1" x14ac:dyDescent="0.35">
      <c r="A74" s="34" t="s">
        <v>293</v>
      </c>
      <c r="B74" s="19" t="s">
        <v>294</v>
      </c>
      <c r="C74" s="20" t="s">
        <v>247</v>
      </c>
      <c r="D74" s="35">
        <v>2</v>
      </c>
      <c r="E74" s="36">
        <v>345</v>
      </c>
      <c r="F74" s="36">
        <v>86</v>
      </c>
      <c r="G74" s="37">
        <f t="shared" si="4"/>
        <v>431</v>
      </c>
      <c r="H74" s="38">
        <f t="shared" si="5"/>
        <v>862</v>
      </c>
    </row>
    <row r="75" spans="1:8" ht="13.5" customHeight="1" x14ac:dyDescent="0.35">
      <c r="A75" s="39" t="s">
        <v>295</v>
      </c>
      <c r="B75" s="40" t="s">
        <v>296</v>
      </c>
      <c r="C75" s="41" t="s">
        <v>247</v>
      </c>
      <c r="D75" s="42">
        <v>12</v>
      </c>
      <c r="E75" s="36">
        <v>63</v>
      </c>
      <c r="F75" s="36">
        <v>29</v>
      </c>
      <c r="G75" s="43">
        <f t="shared" si="4"/>
        <v>92</v>
      </c>
      <c r="H75" s="44">
        <f t="shared" si="5"/>
        <v>1104</v>
      </c>
    </row>
    <row r="76" spans="1:8" ht="13.5" customHeight="1" x14ac:dyDescent="0.35">
      <c r="A76" s="34" t="s">
        <v>297</v>
      </c>
      <c r="B76" s="19" t="s">
        <v>298</v>
      </c>
      <c r="C76" s="20" t="s">
        <v>247</v>
      </c>
      <c r="D76" s="35">
        <v>7</v>
      </c>
      <c r="E76" s="36">
        <v>96</v>
      </c>
      <c r="F76" s="36">
        <v>36</v>
      </c>
      <c r="G76" s="37">
        <f t="shared" si="4"/>
        <v>132</v>
      </c>
      <c r="H76" s="38">
        <f t="shared" si="5"/>
        <v>924</v>
      </c>
    </row>
    <row r="77" spans="1:8" ht="13.5" customHeight="1" x14ac:dyDescent="0.35">
      <c r="A77" s="39" t="s">
        <v>299</v>
      </c>
      <c r="B77" s="40" t="s">
        <v>300</v>
      </c>
      <c r="C77" s="41" t="s">
        <v>247</v>
      </c>
      <c r="D77" s="42">
        <v>13</v>
      </c>
      <c r="E77" s="36">
        <v>79</v>
      </c>
      <c r="F77" s="36">
        <v>31</v>
      </c>
      <c r="G77" s="43">
        <f t="shared" si="4"/>
        <v>110</v>
      </c>
      <c r="H77" s="44">
        <f t="shared" si="5"/>
        <v>1430</v>
      </c>
    </row>
    <row r="78" spans="1:8" ht="21.75" customHeight="1" x14ac:dyDescent="0.35">
      <c r="A78" s="34" t="s">
        <v>301</v>
      </c>
      <c r="B78" s="19" t="s">
        <v>302</v>
      </c>
      <c r="C78" s="20" t="s">
        <v>221</v>
      </c>
      <c r="D78" s="35">
        <v>362.85759999999999</v>
      </c>
      <c r="E78" s="36">
        <v>34</v>
      </c>
      <c r="F78" s="36">
        <v>26</v>
      </c>
      <c r="G78" s="37">
        <f t="shared" si="4"/>
        <v>60</v>
      </c>
      <c r="H78" s="38">
        <f t="shared" si="5"/>
        <v>21771.46</v>
      </c>
    </row>
    <row r="79" spans="1:8" ht="21.75" customHeight="1" x14ac:dyDescent="0.35">
      <c r="A79" s="39" t="s">
        <v>303</v>
      </c>
      <c r="B79" s="40" t="s">
        <v>304</v>
      </c>
      <c r="C79" s="41" t="s">
        <v>305</v>
      </c>
      <c r="D79" s="42">
        <v>10.7296</v>
      </c>
      <c r="E79" s="36">
        <v>325</v>
      </c>
      <c r="F79" s="36">
        <v>185</v>
      </c>
      <c r="G79" s="43">
        <f t="shared" si="4"/>
        <v>510</v>
      </c>
      <c r="H79" s="44">
        <f t="shared" si="5"/>
        <v>5472.1</v>
      </c>
    </row>
    <row r="80" spans="1:8" ht="21.75" customHeight="1" x14ac:dyDescent="0.35">
      <c r="A80" s="34" t="s">
        <v>306</v>
      </c>
      <c r="B80" s="19" t="s">
        <v>307</v>
      </c>
      <c r="C80" s="20" t="s">
        <v>228</v>
      </c>
      <c r="D80" s="35">
        <v>75.152000000000001</v>
      </c>
      <c r="E80" s="36">
        <v>9.6</v>
      </c>
      <c r="F80" s="36">
        <v>6.6</v>
      </c>
      <c r="G80" s="37">
        <f t="shared" si="4"/>
        <v>16.2</v>
      </c>
      <c r="H80" s="38">
        <f t="shared" si="5"/>
        <v>1217.46</v>
      </c>
    </row>
    <row r="81" spans="1:8" ht="21.75" customHeight="1" x14ac:dyDescent="0.35">
      <c r="A81" s="39" t="s">
        <v>308</v>
      </c>
      <c r="B81" s="40" t="s">
        <v>309</v>
      </c>
      <c r="C81" s="41" t="s">
        <v>228</v>
      </c>
      <c r="D81" s="42">
        <v>10.64</v>
      </c>
      <c r="E81" s="36">
        <v>12.6</v>
      </c>
      <c r="F81" s="36">
        <v>7.1</v>
      </c>
      <c r="G81" s="43">
        <f t="shared" si="4"/>
        <v>19.7</v>
      </c>
      <c r="H81" s="44">
        <f t="shared" si="5"/>
        <v>209.61</v>
      </c>
    </row>
    <row r="82" spans="1:8" ht="21.75" customHeight="1" x14ac:dyDescent="0.35">
      <c r="A82" s="34" t="s">
        <v>310</v>
      </c>
      <c r="B82" s="19" t="s">
        <v>311</v>
      </c>
      <c r="C82" s="20" t="s">
        <v>228</v>
      </c>
      <c r="D82" s="35">
        <v>71.892799999999994</v>
      </c>
      <c r="E82" s="36">
        <v>16.2</v>
      </c>
      <c r="F82" s="36">
        <v>7.6</v>
      </c>
      <c r="G82" s="37">
        <f t="shared" si="4"/>
        <v>23.799999999999997</v>
      </c>
      <c r="H82" s="38">
        <f t="shared" si="5"/>
        <v>1711.05</v>
      </c>
    </row>
    <row r="83" spans="1:8" ht="21.75" customHeight="1" x14ac:dyDescent="0.35">
      <c r="A83" s="39" t="s">
        <v>312</v>
      </c>
      <c r="B83" s="40" t="s">
        <v>313</v>
      </c>
      <c r="C83" s="41" t="s">
        <v>228</v>
      </c>
      <c r="D83" s="42">
        <v>80.64</v>
      </c>
      <c r="E83" s="36">
        <v>21</v>
      </c>
      <c r="F83" s="36">
        <v>8.6</v>
      </c>
      <c r="G83" s="43">
        <f t="shared" si="4"/>
        <v>29.6</v>
      </c>
      <c r="H83" s="44">
        <f t="shared" si="5"/>
        <v>2386.94</v>
      </c>
    </row>
    <row r="84" spans="1:8" ht="21.75" customHeight="1" x14ac:dyDescent="0.35">
      <c r="A84" s="34" t="s">
        <v>314</v>
      </c>
      <c r="B84" s="19" t="s">
        <v>315</v>
      </c>
      <c r="C84" s="20" t="s">
        <v>228</v>
      </c>
      <c r="D84" s="35">
        <v>14.28</v>
      </c>
      <c r="E84" s="36">
        <v>26</v>
      </c>
      <c r="F84" s="36">
        <v>9.6</v>
      </c>
      <c r="G84" s="37">
        <f t="shared" si="4"/>
        <v>35.6</v>
      </c>
      <c r="H84" s="38">
        <f t="shared" si="5"/>
        <v>508.37</v>
      </c>
    </row>
    <row r="85" spans="1:8" ht="21.75" customHeight="1" x14ac:dyDescent="0.35">
      <c r="A85" s="39" t="s">
        <v>316</v>
      </c>
      <c r="B85" s="40" t="s">
        <v>317</v>
      </c>
      <c r="C85" s="41" t="s">
        <v>228</v>
      </c>
      <c r="D85" s="42">
        <v>27.585599999999999</v>
      </c>
      <c r="E85" s="36">
        <v>34</v>
      </c>
      <c r="F85" s="36">
        <v>11</v>
      </c>
      <c r="G85" s="43">
        <f t="shared" si="4"/>
        <v>45</v>
      </c>
      <c r="H85" s="44">
        <f t="shared" si="5"/>
        <v>1241.3499999999999</v>
      </c>
    </row>
    <row r="86" spans="1:8" ht="21.75" customHeight="1" x14ac:dyDescent="0.35">
      <c r="A86" s="34" t="s">
        <v>318</v>
      </c>
      <c r="B86" s="19" t="s">
        <v>319</v>
      </c>
      <c r="C86" s="20" t="s">
        <v>228</v>
      </c>
      <c r="D86" s="35">
        <v>74.816000000000003</v>
      </c>
      <c r="E86" s="36">
        <v>46</v>
      </c>
      <c r="F86" s="36">
        <v>13.5</v>
      </c>
      <c r="G86" s="37">
        <f t="shared" si="4"/>
        <v>59.5</v>
      </c>
      <c r="H86" s="38">
        <f t="shared" si="5"/>
        <v>4451.55</v>
      </c>
    </row>
    <row r="87" spans="1:8" ht="13.5" customHeight="1" x14ac:dyDescent="0.35">
      <c r="A87" s="39" t="s">
        <v>320</v>
      </c>
      <c r="B87" s="40" t="s">
        <v>321</v>
      </c>
      <c r="C87" s="41" t="s">
        <v>228</v>
      </c>
      <c r="D87" s="42">
        <v>28.28</v>
      </c>
      <c r="E87" s="36">
        <v>4.3</v>
      </c>
      <c r="F87" s="36">
        <v>6.6</v>
      </c>
      <c r="G87" s="43">
        <f t="shared" si="4"/>
        <v>10.899999999999999</v>
      </c>
      <c r="H87" s="44">
        <f t="shared" si="5"/>
        <v>308.25</v>
      </c>
    </row>
    <row r="88" spans="1:8" ht="13.5" customHeight="1" x14ac:dyDescent="0.35">
      <c r="A88" s="34" t="s">
        <v>322</v>
      </c>
      <c r="B88" s="19" t="s">
        <v>323</v>
      </c>
      <c r="C88" s="20" t="s">
        <v>228</v>
      </c>
      <c r="D88" s="35">
        <v>66.214399999999998</v>
      </c>
      <c r="E88" s="36">
        <v>5.5</v>
      </c>
      <c r="F88" s="36">
        <v>7.1</v>
      </c>
      <c r="G88" s="37">
        <f t="shared" si="4"/>
        <v>12.6</v>
      </c>
      <c r="H88" s="38">
        <f t="shared" si="5"/>
        <v>834.3</v>
      </c>
    </row>
    <row r="89" spans="1:8" ht="13.5" customHeight="1" x14ac:dyDescent="0.35">
      <c r="A89" s="39" t="s">
        <v>324</v>
      </c>
      <c r="B89" s="40" t="s">
        <v>325</v>
      </c>
      <c r="C89" s="41" t="s">
        <v>228</v>
      </c>
      <c r="D89" s="42">
        <v>11.2</v>
      </c>
      <c r="E89" s="36">
        <v>6.9</v>
      </c>
      <c r="F89" s="36">
        <v>7.6</v>
      </c>
      <c r="G89" s="43">
        <f t="shared" si="4"/>
        <v>14.5</v>
      </c>
      <c r="H89" s="44">
        <f t="shared" si="5"/>
        <v>162.4</v>
      </c>
    </row>
    <row r="90" spans="1:8" ht="21.75" customHeight="1" x14ac:dyDescent="0.35">
      <c r="A90" s="34" t="s">
        <v>326</v>
      </c>
      <c r="B90" s="19" t="s">
        <v>327</v>
      </c>
      <c r="C90" s="20" t="s">
        <v>161</v>
      </c>
      <c r="D90" s="35">
        <v>1</v>
      </c>
      <c r="E90" s="36">
        <v>8500</v>
      </c>
      <c r="F90" s="36">
        <v>0</v>
      </c>
      <c r="G90" s="37">
        <f t="shared" si="4"/>
        <v>8500</v>
      </c>
      <c r="H90" s="38">
        <f t="shared" si="5"/>
        <v>8500</v>
      </c>
    </row>
    <row r="91" spans="1:8" ht="21.75" customHeight="1" x14ac:dyDescent="0.35">
      <c r="A91" s="39" t="s">
        <v>328</v>
      </c>
      <c r="B91" s="40" t="s">
        <v>329</v>
      </c>
      <c r="C91" s="41" t="s">
        <v>305</v>
      </c>
      <c r="D91" s="42">
        <v>2.1616</v>
      </c>
      <c r="E91" s="36">
        <v>345</v>
      </c>
      <c r="F91" s="36">
        <v>195</v>
      </c>
      <c r="G91" s="43">
        <f t="shared" si="4"/>
        <v>540</v>
      </c>
      <c r="H91" s="44">
        <f t="shared" si="5"/>
        <v>1167.26</v>
      </c>
    </row>
    <row r="92" spans="1:8" ht="13.5" customHeight="1" x14ac:dyDescent="0.35">
      <c r="A92" s="34" t="s">
        <v>330</v>
      </c>
      <c r="B92" s="19" t="s">
        <v>331</v>
      </c>
      <c r="C92" s="20" t="s">
        <v>221</v>
      </c>
      <c r="D92" s="35">
        <v>15</v>
      </c>
      <c r="E92" s="36">
        <v>43</v>
      </c>
      <c r="F92" s="36">
        <v>19</v>
      </c>
      <c r="G92" s="37">
        <f t="shared" si="4"/>
        <v>62</v>
      </c>
      <c r="H92" s="38">
        <f t="shared" si="5"/>
        <v>930</v>
      </c>
    </row>
    <row r="93" spans="1:8" ht="13.5" customHeight="1" x14ac:dyDescent="0.35">
      <c r="A93" s="39" t="s">
        <v>332</v>
      </c>
      <c r="B93" s="40" t="s">
        <v>333</v>
      </c>
      <c r="C93" s="41" t="s">
        <v>334</v>
      </c>
      <c r="D93" s="42">
        <v>132.16</v>
      </c>
      <c r="E93" s="36">
        <v>29</v>
      </c>
      <c r="F93" s="36">
        <v>4</v>
      </c>
      <c r="G93" s="43">
        <f t="shared" si="4"/>
        <v>33</v>
      </c>
      <c r="H93" s="44">
        <f t="shared" si="5"/>
        <v>4361.28</v>
      </c>
    </row>
    <row r="94" spans="1:8" ht="21.75" customHeight="1" x14ac:dyDescent="0.35">
      <c r="A94" s="34" t="s">
        <v>335</v>
      </c>
      <c r="B94" s="19" t="s">
        <v>336</v>
      </c>
      <c r="C94" s="20" t="s">
        <v>334</v>
      </c>
      <c r="D94" s="35">
        <v>360.47840000000002</v>
      </c>
      <c r="E94" s="36">
        <v>2.7</v>
      </c>
      <c r="F94" s="36">
        <v>2.25</v>
      </c>
      <c r="G94" s="37">
        <f t="shared" si="4"/>
        <v>4.95</v>
      </c>
      <c r="H94" s="38">
        <f t="shared" si="5"/>
        <v>1784.37</v>
      </c>
    </row>
    <row r="95" spans="1:8" ht="21.75" customHeight="1" x14ac:dyDescent="0.35">
      <c r="A95" s="39" t="s">
        <v>337</v>
      </c>
      <c r="B95" s="40" t="s">
        <v>338</v>
      </c>
      <c r="C95" s="41" t="s">
        <v>247</v>
      </c>
      <c r="D95" s="42">
        <v>12</v>
      </c>
      <c r="E95" s="36">
        <v>430</v>
      </c>
      <c r="F95" s="36">
        <v>185</v>
      </c>
      <c r="G95" s="43">
        <f t="shared" si="4"/>
        <v>615</v>
      </c>
      <c r="H95" s="44">
        <f t="shared" si="5"/>
        <v>7380</v>
      </c>
    </row>
    <row r="96" spans="1:8" ht="21.75" customHeight="1" x14ac:dyDescent="0.35">
      <c r="A96" s="34" t="s">
        <v>339</v>
      </c>
      <c r="B96" s="19" t="s">
        <v>340</v>
      </c>
      <c r="C96" s="20" t="s">
        <v>161</v>
      </c>
      <c r="D96" s="35">
        <v>1</v>
      </c>
      <c r="E96" s="36">
        <v>0</v>
      </c>
      <c r="F96" s="36">
        <v>6800</v>
      </c>
      <c r="G96" s="37">
        <f t="shared" si="4"/>
        <v>6800</v>
      </c>
      <c r="H96" s="38">
        <f t="shared" si="5"/>
        <v>6800</v>
      </c>
    </row>
    <row r="97" spans="1:8" ht="13.5" customHeight="1" x14ac:dyDescent="0.35">
      <c r="A97" s="39" t="s">
        <v>341</v>
      </c>
      <c r="B97" s="40" t="s">
        <v>342</v>
      </c>
      <c r="C97" s="41" t="s">
        <v>161</v>
      </c>
      <c r="D97" s="42">
        <v>1</v>
      </c>
      <c r="E97" s="36">
        <v>0</v>
      </c>
      <c r="F97" s="36">
        <v>9800</v>
      </c>
      <c r="G97" s="43">
        <f t="shared" si="4"/>
        <v>9800</v>
      </c>
      <c r="H97" s="44">
        <f t="shared" si="5"/>
        <v>9800</v>
      </c>
    </row>
    <row r="98" spans="1:8" ht="33" customHeight="1" x14ac:dyDescent="0.35">
      <c r="A98" s="34" t="s">
        <v>343</v>
      </c>
      <c r="B98" s="19" t="s">
        <v>344</v>
      </c>
      <c r="C98" s="20" t="s">
        <v>218</v>
      </c>
      <c r="D98" s="35">
        <v>1</v>
      </c>
      <c r="E98" s="36">
        <v>14500</v>
      </c>
      <c r="F98" s="36">
        <v>2250</v>
      </c>
      <c r="G98" s="37">
        <f t="shared" ref="G98:G129" si="6">E98+F98</f>
        <v>16750</v>
      </c>
      <c r="H98" s="38">
        <f t="shared" ref="H98:H129" si="7">ROUND(D98*G98,2)</f>
        <v>16750</v>
      </c>
    </row>
    <row r="99" spans="1:8" ht="21.75" customHeight="1" x14ac:dyDescent="0.35">
      <c r="A99" s="39" t="s">
        <v>345</v>
      </c>
      <c r="B99" s="40" t="s">
        <v>346</v>
      </c>
      <c r="C99" s="41" t="s">
        <v>218</v>
      </c>
      <c r="D99" s="42">
        <v>1</v>
      </c>
      <c r="E99" s="36">
        <v>9800</v>
      </c>
      <c r="F99" s="36">
        <v>1650</v>
      </c>
      <c r="G99" s="43">
        <f t="shared" si="6"/>
        <v>11450</v>
      </c>
      <c r="H99" s="44">
        <f t="shared" si="7"/>
        <v>11450</v>
      </c>
    </row>
    <row r="100" spans="1:8" ht="13.5" customHeight="1" x14ac:dyDescent="0.35">
      <c r="A100" s="34" t="s">
        <v>347</v>
      </c>
      <c r="B100" s="19" t="s">
        <v>296</v>
      </c>
      <c r="C100" s="20" t="s">
        <v>247</v>
      </c>
      <c r="D100" s="35">
        <v>3</v>
      </c>
      <c r="E100" s="36">
        <v>63</v>
      </c>
      <c r="F100" s="36">
        <v>29</v>
      </c>
      <c r="G100" s="37">
        <f t="shared" si="6"/>
        <v>92</v>
      </c>
      <c r="H100" s="38">
        <f t="shared" si="7"/>
        <v>276</v>
      </c>
    </row>
    <row r="101" spans="1:8" ht="13.5" customHeight="1" x14ac:dyDescent="0.35">
      <c r="A101" s="39" t="s">
        <v>348</v>
      </c>
      <c r="B101" s="40" t="s">
        <v>349</v>
      </c>
      <c r="C101" s="41" t="s">
        <v>247</v>
      </c>
      <c r="D101" s="42">
        <v>2</v>
      </c>
      <c r="E101" s="36">
        <v>39</v>
      </c>
      <c r="F101" s="36">
        <v>21</v>
      </c>
      <c r="G101" s="43">
        <f t="shared" si="6"/>
        <v>60</v>
      </c>
      <c r="H101" s="44">
        <f t="shared" si="7"/>
        <v>120</v>
      </c>
    </row>
    <row r="102" spans="1:8" ht="13.5" customHeight="1" x14ac:dyDescent="0.35">
      <c r="A102" s="34" t="s">
        <v>350</v>
      </c>
      <c r="B102" s="19" t="s">
        <v>351</v>
      </c>
      <c r="C102" s="20" t="s">
        <v>247</v>
      </c>
      <c r="D102" s="35">
        <v>2</v>
      </c>
      <c r="E102" s="36">
        <v>73</v>
      </c>
      <c r="F102" s="36">
        <v>27</v>
      </c>
      <c r="G102" s="37">
        <f t="shared" si="6"/>
        <v>100</v>
      </c>
      <c r="H102" s="38">
        <f t="shared" si="7"/>
        <v>200</v>
      </c>
    </row>
    <row r="103" spans="1:8" ht="13.5" customHeight="1" x14ac:dyDescent="0.35">
      <c r="A103" s="39" t="s">
        <v>352</v>
      </c>
      <c r="B103" s="40" t="s">
        <v>353</v>
      </c>
      <c r="C103" s="41" t="s">
        <v>247</v>
      </c>
      <c r="D103" s="42">
        <v>3</v>
      </c>
      <c r="E103" s="36">
        <v>120</v>
      </c>
      <c r="F103" s="36">
        <v>35</v>
      </c>
      <c r="G103" s="43">
        <f t="shared" si="6"/>
        <v>155</v>
      </c>
      <c r="H103" s="44">
        <f t="shared" si="7"/>
        <v>465</v>
      </c>
    </row>
    <row r="104" spans="1:8" ht="13.5" customHeight="1" x14ac:dyDescent="0.35">
      <c r="A104" s="34" t="s">
        <v>354</v>
      </c>
      <c r="B104" s="19" t="s">
        <v>355</v>
      </c>
      <c r="C104" s="20" t="s">
        <v>247</v>
      </c>
      <c r="D104" s="35">
        <v>1</v>
      </c>
      <c r="E104" s="36">
        <v>690</v>
      </c>
      <c r="F104" s="36">
        <v>125</v>
      </c>
      <c r="G104" s="37">
        <f t="shared" si="6"/>
        <v>815</v>
      </c>
      <c r="H104" s="38">
        <f t="shared" si="7"/>
        <v>815</v>
      </c>
    </row>
    <row r="105" spans="1:8" ht="13.5" customHeight="1" x14ac:dyDescent="0.35">
      <c r="A105" s="39" t="s">
        <v>356</v>
      </c>
      <c r="B105" s="40" t="s">
        <v>357</v>
      </c>
      <c r="C105" s="41" t="s">
        <v>247</v>
      </c>
      <c r="D105" s="42">
        <v>1</v>
      </c>
      <c r="E105" s="36">
        <v>730</v>
      </c>
      <c r="F105" s="36">
        <v>135</v>
      </c>
      <c r="G105" s="43">
        <f t="shared" si="6"/>
        <v>865</v>
      </c>
      <c r="H105" s="44">
        <f t="shared" si="7"/>
        <v>865</v>
      </c>
    </row>
    <row r="106" spans="1:8" ht="13.5" customHeight="1" x14ac:dyDescent="0.35">
      <c r="A106" s="34" t="s">
        <v>358</v>
      </c>
      <c r="B106" s="19" t="s">
        <v>359</v>
      </c>
      <c r="C106" s="20" t="s">
        <v>247</v>
      </c>
      <c r="D106" s="35">
        <v>1</v>
      </c>
      <c r="E106" s="36">
        <v>168</v>
      </c>
      <c r="F106" s="36">
        <v>46</v>
      </c>
      <c r="G106" s="37">
        <f t="shared" si="6"/>
        <v>214</v>
      </c>
      <c r="H106" s="38">
        <f t="shared" si="7"/>
        <v>214</v>
      </c>
    </row>
    <row r="107" spans="1:8" ht="13.5" customHeight="1" x14ac:dyDescent="0.35">
      <c r="A107" s="39" t="s">
        <v>360</v>
      </c>
      <c r="B107" s="40" t="s">
        <v>361</v>
      </c>
      <c r="C107" s="41" t="s">
        <v>221</v>
      </c>
      <c r="D107" s="42">
        <v>95.623999999999995</v>
      </c>
      <c r="E107" s="36">
        <v>34</v>
      </c>
      <c r="F107" s="36">
        <v>26</v>
      </c>
      <c r="G107" s="43">
        <f t="shared" si="6"/>
        <v>60</v>
      </c>
      <c r="H107" s="44">
        <f t="shared" si="7"/>
        <v>5737.44</v>
      </c>
    </row>
    <row r="108" spans="1:8" ht="21.75" customHeight="1" x14ac:dyDescent="0.35">
      <c r="A108" s="34" t="s">
        <v>362</v>
      </c>
      <c r="B108" s="19" t="s">
        <v>363</v>
      </c>
      <c r="C108" s="20" t="s">
        <v>305</v>
      </c>
      <c r="D108" s="35">
        <v>4.5999999999999996</v>
      </c>
      <c r="E108" s="36">
        <v>365</v>
      </c>
      <c r="F108" s="36">
        <v>195</v>
      </c>
      <c r="G108" s="37">
        <f t="shared" si="6"/>
        <v>560</v>
      </c>
      <c r="H108" s="38">
        <f t="shared" si="7"/>
        <v>2576</v>
      </c>
    </row>
    <row r="109" spans="1:8" ht="13.5" customHeight="1" x14ac:dyDescent="0.35">
      <c r="A109" s="39" t="s">
        <v>364</v>
      </c>
      <c r="B109" s="40" t="s">
        <v>365</v>
      </c>
      <c r="C109" s="41" t="s">
        <v>228</v>
      </c>
      <c r="D109" s="42">
        <v>79.456999999999994</v>
      </c>
      <c r="E109" s="36">
        <v>9.6</v>
      </c>
      <c r="F109" s="36">
        <v>6.6</v>
      </c>
      <c r="G109" s="43">
        <f t="shared" si="6"/>
        <v>16.2</v>
      </c>
      <c r="H109" s="44">
        <f t="shared" si="7"/>
        <v>1287.2</v>
      </c>
    </row>
    <row r="110" spans="1:8" ht="13.5" customHeight="1" x14ac:dyDescent="0.35">
      <c r="A110" s="34" t="s">
        <v>366</v>
      </c>
      <c r="B110" s="19" t="s">
        <v>367</v>
      </c>
      <c r="C110" s="20" t="s">
        <v>228</v>
      </c>
      <c r="D110" s="35">
        <v>79.456999999999994</v>
      </c>
      <c r="E110" s="36">
        <v>21</v>
      </c>
      <c r="F110" s="36">
        <v>8.6</v>
      </c>
      <c r="G110" s="37">
        <f t="shared" si="6"/>
        <v>29.6</v>
      </c>
      <c r="H110" s="38">
        <f t="shared" si="7"/>
        <v>2351.9299999999998</v>
      </c>
    </row>
    <row r="111" spans="1:8" ht="13.5" customHeight="1" x14ac:dyDescent="0.35">
      <c r="A111" s="39" t="s">
        <v>368</v>
      </c>
      <c r="B111" s="40" t="s">
        <v>369</v>
      </c>
      <c r="C111" s="41" t="s">
        <v>228</v>
      </c>
      <c r="D111" s="42">
        <v>5.5</v>
      </c>
      <c r="E111" s="36">
        <v>4.3</v>
      </c>
      <c r="F111" s="36">
        <v>6.6</v>
      </c>
      <c r="G111" s="43">
        <f t="shared" si="6"/>
        <v>10.899999999999999</v>
      </c>
      <c r="H111" s="44">
        <f t="shared" si="7"/>
        <v>59.95</v>
      </c>
    </row>
    <row r="112" spans="1:8" ht="13.5" customHeight="1" x14ac:dyDescent="0.35">
      <c r="A112" s="34" t="s">
        <v>370</v>
      </c>
      <c r="B112" s="19" t="s">
        <v>371</v>
      </c>
      <c r="C112" s="20" t="s">
        <v>161</v>
      </c>
      <c r="D112" s="35">
        <v>1</v>
      </c>
      <c r="E112" s="36">
        <v>3200</v>
      </c>
      <c r="F112" s="36">
        <v>0</v>
      </c>
      <c r="G112" s="37">
        <f t="shared" si="6"/>
        <v>3200</v>
      </c>
      <c r="H112" s="38">
        <f t="shared" si="7"/>
        <v>3200</v>
      </c>
    </row>
    <row r="113" spans="1:8" ht="13.5" customHeight="1" x14ac:dyDescent="0.35">
      <c r="A113" s="39" t="s">
        <v>372</v>
      </c>
      <c r="B113" s="40" t="s">
        <v>373</v>
      </c>
      <c r="C113" s="41" t="s">
        <v>305</v>
      </c>
      <c r="D113" s="42">
        <v>0.55000000000000004</v>
      </c>
      <c r="E113" s="36">
        <v>345</v>
      </c>
      <c r="F113" s="36">
        <v>195</v>
      </c>
      <c r="G113" s="43">
        <f t="shared" si="6"/>
        <v>540</v>
      </c>
      <c r="H113" s="44">
        <f t="shared" si="7"/>
        <v>297</v>
      </c>
    </row>
    <row r="114" spans="1:8" ht="13.5" customHeight="1" x14ac:dyDescent="0.35">
      <c r="A114" s="34" t="s">
        <v>374</v>
      </c>
      <c r="B114" s="19" t="s">
        <v>333</v>
      </c>
      <c r="C114" s="20" t="s">
        <v>334</v>
      </c>
      <c r="D114" s="35">
        <v>14.608000000000001</v>
      </c>
      <c r="E114" s="36">
        <v>29</v>
      </c>
      <c r="F114" s="36">
        <v>4</v>
      </c>
      <c r="G114" s="37">
        <f t="shared" si="6"/>
        <v>33</v>
      </c>
      <c r="H114" s="38">
        <f t="shared" si="7"/>
        <v>482.06</v>
      </c>
    </row>
    <row r="115" spans="1:8" ht="13.5" customHeight="1" x14ac:dyDescent="0.35">
      <c r="A115" s="39" t="s">
        <v>375</v>
      </c>
      <c r="B115" s="40" t="s">
        <v>331</v>
      </c>
      <c r="C115" s="41" t="s">
        <v>221</v>
      </c>
      <c r="D115" s="42">
        <v>1.65</v>
      </c>
      <c r="E115" s="36">
        <v>43</v>
      </c>
      <c r="F115" s="36">
        <v>19</v>
      </c>
      <c r="G115" s="43">
        <f t="shared" si="6"/>
        <v>62</v>
      </c>
      <c r="H115" s="44">
        <f t="shared" si="7"/>
        <v>102.3</v>
      </c>
    </row>
    <row r="116" spans="1:8" ht="21.75" customHeight="1" x14ac:dyDescent="0.35">
      <c r="A116" s="34" t="s">
        <v>376</v>
      </c>
      <c r="B116" s="19" t="s">
        <v>377</v>
      </c>
      <c r="C116" s="20" t="s">
        <v>334</v>
      </c>
      <c r="D116" s="35">
        <v>253.68700000000001</v>
      </c>
      <c r="E116" s="36">
        <v>2.7</v>
      </c>
      <c r="F116" s="36">
        <v>2.25</v>
      </c>
      <c r="G116" s="37">
        <f t="shared" si="6"/>
        <v>4.95</v>
      </c>
      <c r="H116" s="38">
        <f t="shared" si="7"/>
        <v>1255.75</v>
      </c>
    </row>
    <row r="117" spans="1:8" ht="21.75" customHeight="1" x14ac:dyDescent="0.35">
      <c r="A117" s="39" t="s">
        <v>378</v>
      </c>
      <c r="B117" s="40" t="s">
        <v>379</v>
      </c>
      <c r="C117" s="41" t="s">
        <v>161</v>
      </c>
      <c r="D117" s="42">
        <v>1</v>
      </c>
      <c r="E117" s="36">
        <v>0</v>
      </c>
      <c r="F117" s="36">
        <v>3400</v>
      </c>
      <c r="G117" s="43">
        <f t="shared" si="6"/>
        <v>3400</v>
      </c>
      <c r="H117" s="44">
        <f t="shared" si="7"/>
        <v>3400</v>
      </c>
    </row>
    <row r="118" spans="1:8" ht="13.5" customHeight="1" x14ac:dyDescent="0.35">
      <c r="A118" s="34" t="s">
        <v>380</v>
      </c>
      <c r="B118" s="19" t="s">
        <v>381</v>
      </c>
      <c r="C118" s="20" t="s">
        <v>161</v>
      </c>
      <c r="D118" s="35">
        <v>1</v>
      </c>
      <c r="E118" s="36">
        <v>0</v>
      </c>
      <c r="F118" s="36">
        <v>4800</v>
      </c>
      <c r="G118" s="37">
        <f t="shared" si="6"/>
        <v>4800</v>
      </c>
      <c r="H118" s="38">
        <f t="shared" si="7"/>
        <v>4800</v>
      </c>
    </row>
    <row r="119" spans="1:8" ht="21.75" customHeight="1" x14ac:dyDescent="0.35">
      <c r="A119" s="39" t="s">
        <v>382</v>
      </c>
      <c r="B119" s="40" t="s">
        <v>383</v>
      </c>
      <c r="C119" s="41" t="s">
        <v>247</v>
      </c>
      <c r="D119" s="42">
        <v>3</v>
      </c>
      <c r="E119" s="36">
        <v>215</v>
      </c>
      <c r="F119" s="36">
        <v>62</v>
      </c>
      <c r="G119" s="43">
        <f t="shared" si="6"/>
        <v>277</v>
      </c>
      <c r="H119" s="44">
        <f t="shared" si="7"/>
        <v>831</v>
      </c>
    </row>
    <row r="120" spans="1:8" ht="21.75" customHeight="1" x14ac:dyDescent="0.35">
      <c r="A120" s="34" t="s">
        <v>384</v>
      </c>
      <c r="B120" s="19" t="s">
        <v>385</v>
      </c>
      <c r="C120" s="20" t="s">
        <v>161</v>
      </c>
      <c r="D120" s="35">
        <v>1</v>
      </c>
      <c r="E120" s="36">
        <v>34500</v>
      </c>
      <c r="F120" s="36">
        <v>8500</v>
      </c>
      <c r="G120" s="37">
        <f t="shared" si="6"/>
        <v>43000</v>
      </c>
      <c r="H120" s="38">
        <f t="shared" si="7"/>
        <v>43000</v>
      </c>
    </row>
    <row r="121" spans="1:8" ht="21.75" customHeight="1" x14ac:dyDescent="0.35">
      <c r="A121" s="39" t="s">
        <v>386</v>
      </c>
      <c r="B121" s="40" t="s">
        <v>387</v>
      </c>
      <c r="C121" s="41" t="s">
        <v>218</v>
      </c>
      <c r="D121" s="42">
        <v>3</v>
      </c>
      <c r="E121" s="36">
        <v>730</v>
      </c>
      <c r="F121" s="36">
        <v>195</v>
      </c>
      <c r="G121" s="43">
        <f t="shared" si="6"/>
        <v>925</v>
      </c>
      <c r="H121" s="44">
        <f t="shared" si="7"/>
        <v>2775</v>
      </c>
    </row>
    <row r="122" spans="1:8" ht="21.75" customHeight="1" x14ac:dyDescent="0.35">
      <c r="A122" s="34" t="s">
        <v>388</v>
      </c>
      <c r="B122" s="19" t="s">
        <v>389</v>
      </c>
      <c r="C122" s="20" t="s">
        <v>218</v>
      </c>
      <c r="D122" s="35">
        <v>4</v>
      </c>
      <c r="E122" s="36">
        <v>860</v>
      </c>
      <c r="F122" s="36">
        <v>215</v>
      </c>
      <c r="G122" s="37">
        <f t="shared" si="6"/>
        <v>1075</v>
      </c>
      <c r="H122" s="38">
        <f t="shared" si="7"/>
        <v>4300</v>
      </c>
    </row>
    <row r="123" spans="1:8" ht="21.75" customHeight="1" x14ac:dyDescent="0.35">
      <c r="A123" s="39" t="s">
        <v>390</v>
      </c>
      <c r="B123" s="40" t="s">
        <v>282</v>
      </c>
      <c r="C123" s="41" t="s">
        <v>218</v>
      </c>
      <c r="D123" s="42">
        <v>2</v>
      </c>
      <c r="E123" s="36">
        <v>985</v>
      </c>
      <c r="F123" s="36">
        <v>225</v>
      </c>
      <c r="G123" s="43">
        <f t="shared" si="6"/>
        <v>1210</v>
      </c>
      <c r="H123" s="44">
        <f t="shared" si="7"/>
        <v>2420</v>
      </c>
    </row>
    <row r="124" spans="1:8" ht="21.75" customHeight="1" x14ac:dyDescent="0.35">
      <c r="A124" s="34" t="s">
        <v>391</v>
      </c>
      <c r="B124" s="19" t="s">
        <v>392</v>
      </c>
      <c r="C124" s="20" t="s">
        <v>218</v>
      </c>
      <c r="D124" s="35">
        <v>1</v>
      </c>
      <c r="E124" s="36">
        <v>12800</v>
      </c>
      <c r="F124" s="36">
        <v>1950</v>
      </c>
      <c r="G124" s="37">
        <f t="shared" si="6"/>
        <v>14750</v>
      </c>
      <c r="H124" s="38">
        <f t="shared" si="7"/>
        <v>14750</v>
      </c>
    </row>
    <row r="125" spans="1:8" ht="13.5" customHeight="1" x14ac:dyDescent="0.35">
      <c r="A125" s="39" t="s">
        <v>393</v>
      </c>
      <c r="B125" s="40" t="s">
        <v>394</v>
      </c>
      <c r="C125" s="41" t="s">
        <v>247</v>
      </c>
      <c r="D125" s="42">
        <v>9</v>
      </c>
      <c r="E125" s="36">
        <v>148</v>
      </c>
      <c r="F125" s="36">
        <v>46</v>
      </c>
      <c r="G125" s="43">
        <f t="shared" si="6"/>
        <v>194</v>
      </c>
      <c r="H125" s="44">
        <f t="shared" si="7"/>
        <v>1746</v>
      </c>
    </row>
    <row r="126" spans="1:8" ht="13.5" customHeight="1" x14ac:dyDescent="0.35">
      <c r="A126" s="34" t="s">
        <v>395</v>
      </c>
      <c r="B126" s="19" t="s">
        <v>288</v>
      </c>
      <c r="C126" s="20" t="s">
        <v>247</v>
      </c>
      <c r="D126" s="35">
        <v>7</v>
      </c>
      <c r="E126" s="36">
        <v>168</v>
      </c>
      <c r="F126" s="36">
        <v>56</v>
      </c>
      <c r="G126" s="37">
        <f t="shared" si="6"/>
        <v>224</v>
      </c>
      <c r="H126" s="38">
        <f t="shared" si="7"/>
        <v>1568</v>
      </c>
    </row>
    <row r="127" spans="1:8" ht="13.5" customHeight="1" x14ac:dyDescent="0.35">
      <c r="A127" s="39" t="s">
        <v>396</v>
      </c>
      <c r="B127" s="40" t="s">
        <v>290</v>
      </c>
      <c r="C127" s="41" t="s">
        <v>247</v>
      </c>
      <c r="D127" s="42">
        <v>1</v>
      </c>
      <c r="E127" s="36">
        <v>218</v>
      </c>
      <c r="F127" s="36">
        <v>66</v>
      </c>
      <c r="G127" s="43">
        <f t="shared" si="6"/>
        <v>284</v>
      </c>
      <c r="H127" s="44">
        <f t="shared" si="7"/>
        <v>284</v>
      </c>
    </row>
    <row r="128" spans="1:8" ht="13.5" customHeight="1" x14ac:dyDescent="0.35">
      <c r="A128" s="34" t="s">
        <v>397</v>
      </c>
      <c r="B128" s="19" t="s">
        <v>398</v>
      </c>
      <c r="C128" s="20" t="s">
        <v>228</v>
      </c>
      <c r="D128" s="35">
        <v>46.762</v>
      </c>
      <c r="E128" s="36">
        <v>7.6</v>
      </c>
      <c r="F128" s="36">
        <v>6.1</v>
      </c>
      <c r="G128" s="37">
        <f t="shared" si="6"/>
        <v>13.7</v>
      </c>
      <c r="H128" s="38">
        <f t="shared" si="7"/>
        <v>640.64</v>
      </c>
    </row>
    <row r="129" spans="1:8" ht="13.5" customHeight="1" x14ac:dyDescent="0.35">
      <c r="A129" s="39" t="s">
        <v>399</v>
      </c>
      <c r="B129" s="40" t="s">
        <v>365</v>
      </c>
      <c r="C129" s="41" t="s">
        <v>228</v>
      </c>
      <c r="D129" s="42">
        <v>47.334000000000003</v>
      </c>
      <c r="E129" s="36">
        <v>9.6</v>
      </c>
      <c r="F129" s="36">
        <v>6.6</v>
      </c>
      <c r="G129" s="43">
        <f t="shared" si="6"/>
        <v>16.2</v>
      </c>
      <c r="H129" s="44">
        <f t="shared" si="7"/>
        <v>766.81</v>
      </c>
    </row>
    <row r="130" spans="1:8" ht="13.5" customHeight="1" x14ac:dyDescent="0.35">
      <c r="A130" s="34" t="s">
        <v>400</v>
      </c>
      <c r="B130" s="19" t="s">
        <v>401</v>
      </c>
      <c r="C130" s="20" t="s">
        <v>228</v>
      </c>
      <c r="D130" s="35">
        <v>113.262</v>
      </c>
      <c r="E130" s="36">
        <v>12.6</v>
      </c>
      <c r="F130" s="36">
        <v>7.1</v>
      </c>
      <c r="G130" s="37">
        <f t="shared" ref="G130:G161" si="8">E130+F130</f>
        <v>19.7</v>
      </c>
      <c r="H130" s="38">
        <f t="shared" ref="H130:H161" si="9">ROUND(D130*G130,2)</f>
        <v>2231.2600000000002</v>
      </c>
    </row>
    <row r="131" spans="1:8" ht="13.5" customHeight="1" x14ac:dyDescent="0.35">
      <c r="A131" s="39" t="s">
        <v>402</v>
      </c>
      <c r="B131" s="40" t="s">
        <v>403</v>
      </c>
      <c r="C131" s="41" t="s">
        <v>228</v>
      </c>
      <c r="D131" s="42">
        <v>37.027000000000001</v>
      </c>
      <c r="E131" s="36">
        <v>16.2</v>
      </c>
      <c r="F131" s="36">
        <v>7.6</v>
      </c>
      <c r="G131" s="43">
        <f t="shared" si="8"/>
        <v>23.799999999999997</v>
      </c>
      <c r="H131" s="44">
        <f t="shared" si="9"/>
        <v>881.24</v>
      </c>
    </row>
    <row r="132" spans="1:8" ht="13.5" customHeight="1" x14ac:dyDescent="0.35">
      <c r="A132" s="34" t="s">
        <v>404</v>
      </c>
      <c r="B132" s="19" t="s">
        <v>367</v>
      </c>
      <c r="C132" s="20" t="s">
        <v>228</v>
      </c>
      <c r="D132" s="35">
        <v>12.307</v>
      </c>
      <c r="E132" s="36">
        <v>21</v>
      </c>
      <c r="F132" s="36">
        <v>8.6</v>
      </c>
      <c r="G132" s="37">
        <f t="shared" si="8"/>
        <v>29.6</v>
      </c>
      <c r="H132" s="38">
        <f t="shared" si="9"/>
        <v>364.29</v>
      </c>
    </row>
    <row r="133" spans="1:8" ht="13.5" customHeight="1" x14ac:dyDescent="0.35">
      <c r="A133" s="39" t="s">
        <v>405</v>
      </c>
      <c r="B133" s="40" t="s">
        <v>406</v>
      </c>
      <c r="C133" s="41" t="s">
        <v>228</v>
      </c>
      <c r="D133" s="42">
        <v>49.5</v>
      </c>
      <c r="E133" s="36">
        <v>34</v>
      </c>
      <c r="F133" s="36">
        <v>11</v>
      </c>
      <c r="G133" s="43">
        <f t="shared" si="8"/>
        <v>45</v>
      </c>
      <c r="H133" s="44">
        <f t="shared" si="9"/>
        <v>2227.5</v>
      </c>
    </row>
    <row r="134" spans="1:8" ht="13.5" customHeight="1" x14ac:dyDescent="0.35">
      <c r="A134" s="34" t="s">
        <v>407</v>
      </c>
      <c r="B134" s="19" t="s">
        <v>408</v>
      </c>
      <c r="C134" s="20" t="s">
        <v>228</v>
      </c>
      <c r="D134" s="35">
        <v>38.631999999999998</v>
      </c>
      <c r="E134" s="36">
        <v>3.7</v>
      </c>
      <c r="F134" s="36">
        <v>6.3</v>
      </c>
      <c r="G134" s="37">
        <f t="shared" si="8"/>
        <v>10</v>
      </c>
      <c r="H134" s="38">
        <f t="shared" si="9"/>
        <v>386.32</v>
      </c>
    </row>
    <row r="135" spans="1:8" ht="13.5" customHeight="1" x14ac:dyDescent="0.35">
      <c r="A135" s="39" t="s">
        <v>409</v>
      </c>
      <c r="B135" s="40" t="s">
        <v>369</v>
      </c>
      <c r="C135" s="41" t="s">
        <v>228</v>
      </c>
      <c r="D135" s="42">
        <v>24.629000000000001</v>
      </c>
      <c r="E135" s="36">
        <v>4.3</v>
      </c>
      <c r="F135" s="36">
        <v>6.6</v>
      </c>
      <c r="G135" s="43">
        <f t="shared" si="8"/>
        <v>10.899999999999999</v>
      </c>
      <c r="H135" s="44">
        <f t="shared" si="9"/>
        <v>268.45999999999998</v>
      </c>
    </row>
    <row r="136" spans="1:8" ht="13.5" customHeight="1" x14ac:dyDescent="0.35">
      <c r="A136" s="34" t="s">
        <v>410</v>
      </c>
      <c r="B136" s="19" t="s">
        <v>411</v>
      </c>
      <c r="C136" s="20" t="s">
        <v>228</v>
      </c>
      <c r="D136" s="35">
        <v>16.302</v>
      </c>
      <c r="E136" s="36">
        <v>5.5</v>
      </c>
      <c r="F136" s="36">
        <v>7.1</v>
      </c>
      <c r="G136" s="37">
        <f t="shared" si="8"/>
        <v>12.6</v>
      </c>
      <c r="H136" s="38">
        <f t="shared" si="9"/>
        <v>205.41</v>
      </c>
    </row>
    <row r="137" spans="1:8" ht="13.5" customHeight="1" x14ac:dyDescent="0.35">
      <c r="A137" s="39" t="s">
        <v>412</v>
      </c>
      <c r="B137" s="40" t="s">
        <v>413</v>
      </c>
      <c r="C137" s="41" t="s">
        <v>161</v>
      </c>
      <c r="D137" s="42">
        <v>1</v>
      </c>
      <c r="E137" s="36">
        <v>4200</v>
      </c>
      <c r="F137" s="36">
        <v>0</v>
      </c>
      <c r="G137" s="43">
        <f t="shared" si="8"/>
        <v>4200</v>
      </c>
      <c r="H137" s="44">
        <f t="shared" si="9"/>
        <v>4200</v>
      </c>
    </row>
    <row r="138" spans="1:8" ht="13.5" customHeight="1" x14ac:dyDescent="0.35">
      <c r="A138" s="34" t="s">
        <v>414</v>
      </c>
      <c r="B138" s="19" t="s">
        <v>373</v>
      </c>
      <c r="C138" s="20" t="s">
        <v>305</v>
      </c>
      <c r="D138" s="35">
        <v>1.26</v>
      </c>
      <c r="E138" s="36">
        <v>345</v>
      </c>
      <c r="F138" s="36">
        <v>195</v>
      </c>
      <c r="G138" s="37">
        <f t="shared" si="8"/>
        <v>540</v>
      </c>
      <c r="H138" s="38">
        <f t="shared" si="9"/>
        <v>680.4</v>
      </c>
    </row>
    <row r="139" spans="1:8" ht="13.5" customHeight="1" x14ac:dyDescent="0.35">
      <c r="A139" s="39" t="s">
        <v>415</v>
      </c>
      <c r="B139" s="40" t="s">
        <v>333</v>
      </c>
      <c r="C139" s="41" t="s">
        <v>334</v>
      </c>
      <c r="D139" s="42">
        <v>39.5</v>
      </c>
      <c r="E139" s="36">
        <v>29</v>
      </c>
      <c r="F139" s="36">
        <v>4</v>
      </c>
      <c r="G139" s="43">
        <f t="shared" si="8"/>
        <v>33</v>
      </c>
      <c r="H139" s="44">
        <f t="shared" si="9"/>
        <v>1303.5</v>
      </c>
    </row>
    <row r="140" spans="1:8" ht="13.5" customHeight="1" x14ac:dyDescent="0.35">
      <c r="A140" s="34" t="s">
        <v>416</v>
      </c>
      <c r="B140" s="19" t="s">
        <v>417</v>
      </c>
      <c r="C140" s="20" t="s">
        <v>334</v>
      </c>
      <c r="D140" s="35">
        <v>210.69</v>
      </c>
      <c r="E140" s="36">
        <v>2.7</v>
      </c>
      <c r="F140" s="36">
        <v>2.25</v>
      </c>
      <c r="G140" s="37">
        <f t="shared" si="8"/>
        <v>4.95</v>
      </c>
      <c r="H140" s="38">
        <f t="shared" si="9"/>
        <v>1042.92</v>
      </c>
    </row>
    <row r="141" spans="1:8" ht="13.5" customHeight="1" x14ac:dyDescent="0.35">
      <c r="A141" s="39" t="s">
        <v>418</v>
      </c>
      <c r="B141" s="40" t="s">
        <v>419</v>
      </c>
      <c r="C141" s="41" t="s">
        <v>161</v>
      </c>
      <c r="D141" s="42">
        <v>1</v>
      </c>
      <c r="E141" s="36">
        <v>0</v>
      </c>
      <c r="F141" s="36">
        <v>3200</v>
      </c>
      <c r="G141" s="43">
        <f t="shared" si="8"/>
        <v>3200</v>
      </c>
      <c r="H141" s="44">
        <f t="shared" si="9"/>
        <v>3200</v>
      </c>
    </row>
    <row r="142" spans="1:8" ht="13.5" customHeight="1" x14ac:dyDescent="0.35">
      <c r="A142" s="34" t="s">
        <v>420</v>
      </c>
      <c r="B142" s="19" t="s">
        <v>421</v>
      </c>
      <c r="C142" s="20" t="s">
        <v>161</v>
      </c>
      <c r="D142" s="35">
        <v>1</v>
      </c>
      <c r="E142" s="36">
        <v>0</v>
      </c>
      <c r="F142" s="36">
        <v>4200</v>
      </c>
      <c r="G142" s="37">
        <f t="shared" si="8"/>
        <v>4200</v>
      </c>
      <c r="H142" s="38">
        <f t="shared" si="9"/>
        <v>4200</v>
      </c>
    </row>
    <row r="143" spans="1:8" ht="21.75" customHeight="1" x14ac:dyDescent="0.35">
      <c r="A143" s="39" t="s">
        <v>422</v>
      </c>
      <c r="B143" s="40" t="s">
        <v>423</v>
      </c>
      <c r="C143" s="41" t="s">
        <v>218</v>
      </c>
      <c r="D143" s="42">
        <v>1</v>
      </c>
      <c r="E143" s="36">
        <v>4650</v>
      </c>
      <c r="F143" s="36">
        <v>880</v>
      </c>
      <c r="G143" s="43">
        <f t="shared" si="8"/>
        <v>5530</v>
      </c>
      <c r="H143" s="44">
        <f t="shared" si="9"/>
        <v>5530</v>
      </c>
    </row>
    <row r="144" spans="1:8" ht="13.5" customHeight="1" x14ac:dyDescent="0.35">
      <c r="A144" s="34" t="s">
        <v>424</v>
      </c>
      <c r="B144" s="19" t="s">
        <v>349</v>
      </c>
      <c r="C144" s="20" t="s">
        <v>247</v>
      </c>
      <c r="D144" s="35">
        <v>2</v>
      </c>
      <c r="E144" s="36">
        <v>39</v>
      </c>
      <c r="F144" s="36">
        <v>21</v>
      </c>
      <c r="G144" s="37">
        <f t="shared" si="8"/>
        <v>60</v>
      </c>
      <c r="H144" s="38">
        <f t="shared" si="9"/>
        <v>120</v>
      </c>
    </row>
    <row r="145" spans="1:8" ht="13.5" customHeight="1" x14ac:dyDescent="0.35">
      <c r="A145" s="39" t="s">
        <v>425</v>
      </c>
      <c r="B145" s="40" t="s">
        <v>426</v>
      </c>
      <c r="C145" s="41" t="s">
        <v>247</v>
      </c>
      <c r="D145" s="42">
        <v>1</v>
      </c>
      <c r="E145" s="36">
        <v>53</v>
      </c>
      <c r="F145" s="36">
        <v>25</v>
      </c>
      <c r="G145" s="43">
        <f t="shared" si="8"/>
        <v>78</v>
      </c>
      <c r="H145" s="44">
        <f t="shared" si="9"/>
        <v>78</v>
      </c>
    </row>
    <row r="146" spans="1:8" ht="13.5" customHeight="1" x14ac:dyDescent="0.35">
      <c r="A146" s="34" t="s">
        <v>427</v>
      </c>
      <c r="B146" s="19" t="s">
        <v>428</v>
      </c>
      <c r="C146" s="20" t="s">
        <v>247</v>
      </c>
      <c r="D146" s="35">
        <v>1</v>
      </c>
      <c r="E146" s="36">
        <v>46</v>
      </c>
      <c r="F146" s="36">
        <v>23</v>
      </c>
      <c r="G146" s="37">
        <f t="shared" si="8"/>
        <v>69</v>
      </c>
      <c r="H146" s="38">
        <f t="shared" si="9"/>
        <v>69</v>
      </c>
    </row>
    <row r="147" spans="1:8" ht="13.5" customHeight="1" x14ac:dyDescent="0.35">
      <c r="A147" s="39" t="s">
        <v>429</v>
      </c>
      <c r="B147" s="40" t="s">
        <v>430</v>
      </c>
      <c r="C147" s="41" t="s">
        <v>247</v>
      </c>
      <c r="D147" s="42">
        <v>1</v>
      </c>
      <c r="E147" s="36">
        <v>33</v>
      </c>
      <c r="F147" s="36">
        <v>19</v>
      </c>
      <c r="G147" s="43">
        <f t="shared" si="8"/>
        <v>52</v>
      </c>
      <c r="H147" s="44">
        <f t="shared" si="9"/>
        <v>52</v>
      </c>
    </row>
    <row r="148" spans="1:8" ht="13.5" customHeight="1" x14ac:dyDescent="0.35">
      <c r="A148" s="34" t="s">
        <v>431</v>
      </c>
      <c r="B148" s="19" t="s">
        <v>432</v>
      </c>
      <c r="C148" s="20" t="s">
        <v>247</v>
      </c>
      <c r="D148" s="35">
        <v>2</v>
      </c>
      <c r="E148" s="36">
        <v>39</v>
      </c>
      <c r="F148" s="36">
        <v>21</v>
      </c>
      <c r="G148" s="37">
        <f t="shared" si="8"/>
        <v>60</v>
      </c>
      <c r="H148" s="38">
        <f t="shared" si="9"/>
        <v>120</v>
      </c>
    </row>
    <row r="149" spans="1:8" ht="13.5" customHeight="1" x14ac:dyDescent="0.35">
      <c r="A149" s="39" t="s">
        <v>433</v>
      </c>
      <c r="B149" s="40" t="s">
        <v>434</v>
      </c>
      <c r="C149" s="41" t="s">
        <v>247</v>
      </c>
      <c r="D149" s="42">
        <v>1</v>
      </c>
      <c r="E149" s="36">
        <v>59</v>
      </c>
      <c r="F149" s="36">
        <v>26</v>
      </c>
      <c r="G149" s="43">
        <f t="shared" si="8"/>
        <v>85</v>
      </c>
      <c r="H149" s="44">
        <f t="shared" si="9"/>
        <v>85</v>
      </c>
    </row>
    <row r="150" spans="1:8" ht="13.5" customHeight="1" x14ac:dyDescent="0.35">
      <c r="A150" s="34" t="s">
        <v>435</v>
      </c>
      <c r="B150" s="19" t="s">
        <v>436</v>
      </c>
      <c r="C150" s="20" t="s">
        <v>247</v>
      </c>
      <c r="D150" s="35">
        <v>1</v>
      </c>
      <c r="E150" s="36">
        <v>112</v>
      </c>
      <c r="F150" s="36">
        <v>36</v>
      </c>
      <c r="G150" s="37">
        <f t="shared" si="8"/>
        <v>148</v>
      </c>
      <c r="H150" s="38">
        <f t="shared" si="9"/>
        <v>148</v>
      </c>
    </row>
    <row r="151" spans="1:8" ht="13.5" customHeight="1" x14ac:dyDescent="0.35">
      <c r="A151" s="39" t="s">
        <v>437</v>
      </c>
      <c r="B151" s="40" t="s">
        <v>438</v>
      </c>
      <c r="C151" s="41" t="s">
        <v>247</v>
      </c>
      <c r="D151" s="42">
        <v>1</v>
      </c>
      <c r="E151" s="36">
        <v>59</v>
      </c>
      <c r="F151" s="36">
        <v>23</v>
      </c>
      <c r="G151" s="43">
        <f t="shared" si="8"/>
        <v>82</v>
      </c>
      <c r="H151" s="44">
        <f t="shared" si="9"/>
        <v>82</v>
      </c>
    </row>
    <row r="152" spans="1:8" ht="13.5" customHeight="1" x14ac:dyDescent="0.35">
      <c r="A152" s="34" t="s">
        <v>439</v>
      </c>
      <c r="B152" s="19" t="s">
        <v>440</v>
      </c>
      <c r="C152" s="20" t="s">
        <v>247</v>
      </c>
      <c r="D152" s="35">
        <v>2</v>
      </c>
      <c r="E152" s="36">
        <v>63</v>
      </c>
      <c r="F152" s="36">
        <v>25</v>
      </c>
      <c r="G152" s="37">
        <f t="shared" si="8"/>
        <v>88</v>
      </c>
      <c r="H152" s="38">
        <f t="shared" si="9"/>
        <v>176</v>
      </c>
    </row>
    <row r="153" spans="1:8" ht="13.5" customHeight="1" x14ac:dyDescent="0.35">
      <c r="A153" s="39" t="s">
        <v>441</v>
      </c>
      <c r="B153" s="40" t="s">
        <v>351</v>
      </c>
      <c r="C153" s="41" t="s">
        <v>247</v>
      </c>
      <c r="D153" s="42">
        <v>3</v>
      </c>
      <c r="E153" s="36">
        <v>73</v>
      </c>
      <c r="F153" s="36">
        <v>27</v>
      </c>
      <c r="G153" s="43">
        <f t="shared" si="8"/>
        <v>100</v>
      </c>
      <c r="H153" s="44">
        <f t="shared" si="9"/>
        <v>300</v>
      </c>
    </row>
    <row r="154" spans="1:8" ht="13.5" customHeight="1" x14ac:dyDescent="0.35">
      <c r="A154" s="34" t="s">
        <v>442</v>
      </c>
      <c r="B154" s="19" t="s">
        <v>443</v>
      </c>
      <c r="C154" s="20" t="s">
        <v>247</v>
      </c>
      <c r="D154" s="35">
        <v>1</v>
      </c>
      <c r="E154" s="36">
        <v>83</v>
      </c>
      <c r="F154" s="36">
        <v>29</v>
      </c>
      <c r="G154" s="37">
        <f t="shared" si="8"/>
        <v>112</v>
      </c>
      <c r="H154" s="38">
        <f t="shared" si="9"/>
        <v>112</v>
      </c>
    </row>
    <row r="155" spans="1:8" ht="13.5" customHeight="1" x14ac:dyDescent="0.35">
      <c r="A155" s="39" t="s">
        <v>444</v>
      </c>
      <c r="B155" s="40" t="s">
        <v>445</v>
      </c>
      <c r="C155" s="41" t="s">
        <v>247</v>
      </c>
      <c r="D155" s="42">
        <v>1</v>
      </c>
      <c r="E155" s="36">
        <v>630</v>
      </c>
      <c r="F155" s="36">
        <v>120</v>
      </c>
      <c r="G155" s="43">
        <f t="shared" si="8"/>
        <v>750</v>
      </c>
      <c r="H155" s="44">
        <f t="shared" si="9"/>
        <v>750</v>
      </c>
    </row>
    <row r="156" spans="1:8" ht="13.5" customHeight="1" x14ac:dyDescent="0.35">
      <c r="A156" s="34" t="s">
        <v>446</v>
      </c>
      <c r="B156" s="19" t="s">
        <v>447</v>
      </c>
      <c r="C156" s="20" t="s">
        <v>247</v>
      </c>
      <c r="D156" s="35">
        <v>1</v>
      </c>
      <c r="E156" s="36">
        <v>690</v>
      </c>
      <c r="F156" s="36">
        <v>130</v>
      </c>
      <c r="G156" s="37">
        <f t="shared" si="8"/>
        <v>820</v>
      </c>
      <c r="H156" s="38">
        <f t="shared" si="9"/>
        <v>820</v>
      </c>
    </row>
    <row r="157" spans="1:8" ht="21.75" customHeight="1" x14ac:dyDescent="0.35">
      <c r="A157" s="39" t="s">
        <v>448</v>
      </c>
      <c r="B157" s="40" t="s">
        <v>449</v>
      </c>
      <c r="C157" s="41" t="s">
        <v>221</v>
      </c>
      <c r="D157" s="42">
        <v>123.91500000000001</v>
      </c>
      <c r="E157" s="36">
        <v>34</v>
      </c>
      <c r="F157" s="36">
        <v>26</v>
      </c>
      <c r="G157" s="43">
        <f t="shared" si="8"/>
        <v>60</v>
      </c>
      <c r="H157" s="44">
        <f t="shared" si="9"/>
        <v>7434.9</v>
      </c>
    </row>
    <row r="158" spans="1:8" ht="13.5" customHeight="1" x14ac:dyDescent="0.35">
      <c r="A158" s="34" t="s">
        <v>450</v>
      </c>
      <c r="B158" s="19" t="s">
        <v>451</v>
      </c>
      <c r="C158" s="20" t="s">
        <v>305</v>
      </c>
      <c r="D158" s="35">
        <v>6.9820000000000002</v>
      </c>
      <c r="E158" s="36">
        <v>365</v>
      </c>
      <c r="F158" s="36">
        <v>195</v>
      </c>
      <c r="G158" s="37">
        <f t="shared" si="8"/>
        <v>560</v>
      </c>
      <c r="H158" s="38">
        <f t="shared" si="9"/>
        <v>3909.92</v>
      </c>
    </row>
    <row r="159" spans="1:8" ht="13.5" customHeight="1" x14ac:dyDescent="0.35">
      <c r="A159" s="39" t="s">
        <v>452</v>
      </c>
      <c r="B159" s="40" t="s">
        <v>331</v>
      </c>
      <c r="C159" s="41" t="s">
        <v>221</v>
      </c>
      <c r="D159" s="42">
        <v>2.2000000000000002</v>
      </c>
      <c r="E159" s="36">
        <v>43</v>
      </c>
      <c r="F159" s="36">
        <v>19</v>
      </c>
      <c r="G159" s="43">
        <f t="shared" si="8"/>
        <v>62</v>
      </c>
      <c r="H159" s="44">
        <f t="shared" si="9"/>
        <v>136.4</v>
      </c>
    </row>
    <row r="160" spans="1:8" ht="13.5" customHeight="1" x14ac:dyDescent="0.35">
      <c r="A160" s="34" t="s">
        <v>453</v>
      </c>
      <c r="B160" s="19" t="s">
        <v>417</v>
      </c>
      <c r="C160" s="20" t="s">
        <v>334</v>
      </c>
      <c r="D160" s="35">
        <v>205.19300000000001</v>
      </c>
      <c r="E160" s="36">
        <v>2.7</v>
      </c>
      <c r="F160" s="36">
        <v>2.25</v>
      </c>
      <c r="G160" s="37">
        <f t="shared" si="8"/>
        <v>4.95</v>
      </c>
      <c r="H160" s="38">
        <f t="shared" si="9"/>
        <v>1015.71</v>
      </c>
    </row>
    <row r="161" spans="1:8" ht="13.5" customHeight="1" x14ac:dyDescent="0.35">
      <c r="A161" s="39" t="s">
        <v>454</v>
      </c>
      <c r="B161" s="40" t="s">
        <v>419</v>
      </c>
      <c r="C161" s="41" t="s">
        <v>161</v>
      </c>
      <c r="D161" s="42">
        <v>1</v>
      </c>
      <c r="E161" s="36">
        <v>0</v>
      </c>
      <c r="F161" s="36">
        <v>2800</v>
      </c>
      <c r="G161" s="43">
        <f t="shared" si="8"/>
        <v>2800</v>
      </c>
      <c r="H161" s="44">
        <f t="shared" si="9"/>
        <v>2800</v>
      </c>
    </row>
    <row r="162" spans="1:8" ht="13.5" customHeight="1" x14ac:dyDescent="0.35">
      <c r="A162" s="34" t="s">
        <v>455</v>
      </c>
      <c r="B162" s="19" t="s">
        <v>456</v>
      </c>
      <c r="C162" s="20" t="s">
        <v>161</v>
      </c>
      <c r="D162" s="35">
        <v>1</v>
      </c>
      <c r="E162" s="36">
        <v>0</v>
      </c>
      <c r="F162" s="36">
        <v>3600</v>
      </c>
      <c r="G162" s="37">
        <f t="shared" ref="G162:G193" si="10">E162+F162</f>
        <v>3600</v>
      </c>
      <c r="H162" s="38">
        <f t="shared" ref="H162:H193" si="11">ROUND(D162*G162,2)</f>
        <v>3600</v>
      </c>
    </row>
    <row r="163" spans="1:8" ht="21.75" customHeight="1" x14ac:dyDescent="0.35">
      <c r="A163" s="39" t="s">
        <v>457</v>
      </c>
      <c r="B163" s="40" t="s">
        <v>458</v>
      </c>
      <c r="C163" s="41" t="s">
        <v>218</v>
      </c>
      <c r="D163" s="42">
        <v>1</v>
      </c>
      <c r="E163" s="36">
        <v>1480</v>
      </c>
      <c r="F163" s="36">
        <v>395</v>
      </c>
      <c r="G163" s="43">
        <f t="shared" si="10"/>
        <v>1875</v>
      </c>
      <c r="H163" s="44">
        <f t="shared" si="11"/>
        <v>1875</v>
      </c>
    </row>
    <row r="164" spans="1:8" ht="21.75" customHeight="1" x14ac:dyDescent="0.35">
      <c r="A164" s="34" t="s">
        <v>459</v>
      </c>
      <c r="B164" s="19" t="s">
        <v>460</v>
      </c>
      <c r="C164" s="20" t="s">
        <v>218</v>
      </c>
      <c r="D164" s="35">
        <v>1</v>
      </c>
      <c r="E164" s="36">
        <v>2850</v>
      </c>
      <c r="F164" s="36">
        <v>540</v>
      </c>
      <c r="G164" s="37">
        <f t="shared" si="10"/>
        <v>3390</v>
      </c>
      <c r="H164" s="38">
        <f t="shared" si="11"/>
        <v>3390</v>
      </c>
    </row>
    <row r="165" spans="1:8" ht="13.5" customHeight="1" x14ac:dyDescent="0.35">
      <c r="A165" s="39" t="s">
        <v>461</v>
      </c>
      <c r="B165" s="40" t="s">
        <v>462</v>
      </c>
      <c r="C165" s="41" t="s">
        <v>218</v>
      </c>
      <c r="D165" s="42">
        <v>7</v>
      </c>
      <c r="E165" s="36">
        <v>168</v>
      </c>
      <c r="F165" s="36">
        <v>68</v>
      </c>
      <c r="G165" s="43">
        <f t="shared" si="10"/>
        <v>236</v>
      </c>
      <c r="H165" s="44">
        <f t="shared" si="11"/>
        <v>1652</v>
      </c>
    </row>
    <row r="166" spans="1:8" ht="21.75" customHeight="1" x14ac:dyDescent="0.35">
      <c r="A166" s="34" t="s">
        <v>463</v>
      </c>
      <c r="B166" s="19" t="s">
        <v>464</v>
      </c>
      <c r="C166" s="20" t="s">
        <v>218</v>
      </c>
      <c r="D166" s="35">
        <v>1</v>
      </c>
      <c r="E166" s="36">
        <v>3950</v>
      </c>
      <c r="F166" s="36">
        <v>640</v>
      </c>
      <c r="G166" s="37">
        <f t="shared" si="10"/>
        <v>4590</v>
      </c>
      <c r="H166" s="38">
        <f t="shared" si="11"/>
        <v>4590</v>
      </c>
    </row>
    <row r="167" spans="1:8" ht="13.5" customHeight="1" x14ac:dyDescent="0.35">
      <c r="A167" s="39" t="s">
        <v>465</v>
      </c>
      <c r="B167" s="40" t="s">
        <v>466</v>
      </c>
      <c r="C167" s="41" t="s">
        <v>247</v>
      </c>
      <c r="D167" s="42">
        <v>1</v>
      </c>
      <c r="E167" s="36">
        <v>108</v>
      </c>
      <c r="F167" s="36">
        <v>33</v>
      </c>
      <c r="G167" s="43">
        <f t="shared" si="10"/>
        <v>141</v>
      </c>
      <c r="H167" s="44">
        <f t="shared" si="11"/>
        <v>141</v>
      </c>
    </row>
    <row r="168" spans="1:8" ht="13.5" customHeight="1" x14ac:dyDescent="0.35">
      <c r="A168" s="34" t="s">
        <v>467</v>
      </c>
      <c r="B168" s="19" t="s">
        <v>468</v>
      </c>
      <c r="C168" s="20" t="s">
        <v>247</v>
      </c>
      <c r="D168" s="35">
        <v>1</v>
      </c>
      <c r="E168" s="36">
        <v>90</v>
      </c>
      <c r="F168" s="36">
        <v>31</v>
      </c>
      <c r="G168" s="37">
        <f t="shared" si="10"/>
        <v>121</v>
      </c>
      <c r="H168" s="38">
        <f t="shared" si="11"/>
        <v>121</v>
      </c>
    </row>
    <row r="169" spans="1:8" ht="13.5" customHeight="1" x14ac:dyDescent="0.35">
      <c r="A169" s="39" t="s">
        <v>469</v>
      </c>
      <c r="B169" s="40" t="s">
        <v>470</v>
      </c>
      <c r="C169" s="41" t="s">
        <v>247</v>
      </c>
      <c r="D169" s="42">
        <v>1</v>
      </c>
      <c r="E169" s="36">
        <v>74</v>
      </c>
      <c r="F169" s="36">
        <v>29</v>
      </c>
      <c r="G169" s="43">
        <f t="shared" si="10"/>
        <v>103</v>
      </c>
      <c r="H169" s="44">
        <f t="shared" si="11"/>
        <v>103</v>
      </c>
    </row>
    <row r="170" spans="1:8" ht="13.5" customHeight="1" x14ac:dyDescent="0.35">
      <c r="A170" s="34" t="s">
        <v>471</v>
      </c>
      <c r="B170" s="19" t="s">
        <v>472</v>
      </c>
      <c r="C170" s="20" t="s">
        <v>221</v>
      </c>
      <c r="D170" s="35">
        <v>48.3</v>
      </c>
      <c r="E170" s="36">
        <v>34</v>
      </c>
      <c r="F170" s="36">
        <v>26</v>
      </c>
      <c r="G170" s="37">
        <f t="shared" si="10"/>
        <v>60</v>
      </c>
      <c r="H170" s="38">
        <f t="shared" si="11"/>
        <v>2898</v>
      </c>
    </row>
    <row r="171" spans="1:8" ht="13.5" customHeight="1" x14ac:dyDescent="0.35">
      <c r="A171" s="39" t="s">
        <v>473</v>
      </c>
      <c r="B171" s="40" t="s">
        <v>331</v>
      </c>
      <c r="C171" s="41" t="s">
        <v>221</v>
      </c>
      <c r="D171" s="42">
        <v>2.2000000000000002</v>
      </c>
      <c r="E171" s="36">
        <v>43</v>
      </c>
      <c r="F171" s="36">
        <v>19</v>
      </c>
      <c r="G171" s="43">
        <f t="shared" si="10"/>
        <v>62</v>
      </c>
      <c r="H171" s="44">
        <f t="shared" si="11"/>
        <v>136.4</v>
      </c>
    </row>
    <row r="172" spans="1:8" ht="13.5" customHeight="1" x14ac:dyDescent="0.35">
      <c r="A172" s="34" t="s">
        <v>474</v>
      </c>
      <c r="B172" s="19" t="s">
        <v>417</v>
      </c>
      <c r="C172" s="20" t="s">
        <v>334</v>
      </c>
      <c r="D172" s="35">
        <v>89.2</v>
      </c>
      <c r="E172" s="36">
        <v>2.7</v>
      </c>
      <c r="F172" s="36">
        <v>2.25</v>
      </c>
      <c r="G172" s="37">
        <f t="shared" si="10"/>
        <v>4.95</v>
      </c>
      <c r="H172" s="38">
        <f t="shared" si="11"/>
        <v>441.54</v>
      </c>
    </row>
    <row r="173" spans="1:8" ht="13.5" customHeight="1" x14ac:dyDescent="0.35">
      <c r="A173" s="39" t="s">
        <v>475</v>
      </c>
      <c r="B173" s="40" t="s">
        <v>476</v>
      </c>
      <c r="C173" s="41" t="s">
        <v>161</v>
      </c>
      <c r="D173" s="42">
        <v>1</v>
      </c>
      <c r="E173" s="36">
        <v>3800</v>
      </c>
      <c r="F173" s="36">
        <v>0</v>
      </c>
      <c r="G173" s="43">
        <f t="shared" si="10"/>
        <v>3800</v>
      </c>
      <c r="H173" s="44">
        <f t="shared" si="11"/>
        <v>3800</v>
      </c>
    </row>
    <row r="174" spans="1:8" ht="13.5" customHeight="1" x14ac:dyDescent="0.35">
      <c r="A174" s="34" t="s">
        <v>477</v>
      </c>
      <c r="B174" s="19" t="s">
        <v>419</v>
      </c>
      <c r="C174" s="20" t="s">
        <v>161</v>
      </c>
      <c r="D174" s="35">
        <v>1</v>
      </c>
      <c r="E174" s="36">
        <v>0</v>
      </c>
      <c r="F174" s="36">
        <v>2400</v>
      </c>
      <c r="G174" s="37">
        <f t="shared" si="10"/>
        <v>2400</v>
      </c>
      <c r="H174" s="38">
        <f t="shared" si="11"/>
        <v>2400</v>
      </c>
    </row>
    <row r="175" spans="1:8" ht="13.5" customHeight="1" x14ac:dyDescent="0.35">
      <c r="A175" s="39" t="s">
        <v>478</v>
      </c>
      <c r="B175" s="40" t="s">
        <v>479</v>
      </c>
      <c r="C175" s="41" t="s">
        <v>161</v>
      </c>
      <c r="D175" s="42">
        <v>1</v>
      </c>
      <c r="E175" s="36">
        <v>0</v>
      </c>
      <c r="F175" s="36">
        <v>3400</v>
      </c>
      <c r="G175" s="43">
        <f t="shared" si="10"/>
        <v>3400</v>
      </c>
      <c r="H175" s="44">
        <f t="shared" si="11"/>
        <v>3400</v>
      </c>
    </row>
    <row r="176" spans="1:8" ht="21.75" customHeight="1" x14ac:dyDescent="0.35">
      <c r="A176" s="34" t="s">
        <v>480</v>
      </c>
      <c r="B176" s="19" t="s">
        <v>481</v>
      </c>
      <c r="C176" s="20" t="s">
        <v>161</v>
      </c>
      <c r="D176" s="35">
        <v>1</v>
      </c>
      <c r="E176" s="36">
        <v>0</v>
      </c>
      <c r="F176" s="36">
        <v>9800</v>
      </c>
      <c r="G176" s="37">
        <f t="shared" si="10"/>
        <v>9800</v>
      </c>
      <c r="H176" s="38">
        <f t="shared" si="11"/>
        <v>9800</v>
      </c>
    </row>
    <row r="177" spans="1:8" ht="19.5" customHeight="1" x14ac:dyDescent="0.35">
      <c r="A177" s="24" t="s">
        <v>482</v>
      </c>
      <c r="B177" s="117" t="s">
        <v>483</v>
      </c>
      <c r="C177" s="117"/>
      <c r="D177" s="117"/>
      <c r="E177" s="117"/>
      <c r="F177" s="117"/>
      <c r="G177" s="117"/>
      <c r="H177" s="45">
        <f>SUM(H66:H176)</f>
        <v>365367.00000000006</v>
      </c>
    </row>
    <row r="179" spans="1:8" ht="19.5" customHeight="1" x14ac:dyDescent="0.35">
      <c r="A179" s="116" t="s">
        <v>484</v>
      </c>
      <c r="B179" s="116"/>
      <c r="C179" s="116"/>
      <c r="D179" s="116"/>
      <c r="E179" s="116"/>
      <c r="F179" s="116"/>
      <c r="G179" s="116"/>
      <c r="H179" s="116"/>
    </row>
    <row r="180" spans="1:8" ht="21.75" customHeight="1" x14ac:dyDescent="0.35">
      <c r="A180" s="34" t="s">
        <v>485</v>
      </c>
      <c r="B180" s="19" t="s">
        <v>486</v>
      </c>
      <c r="C180" s="20" t="s">
        <v>218</v>
      </c>
      <c r="D180" s="35">
        <v>1</v>
      </c>
      <c r="E180" s="36">
        <v>18500</v>
      </c>
      <c r="F180" s="36">
        <v>2900</v>
      </c>
      <c r="G180" s="37">
        <f t="shared" ref="G180:G211" si="12">E180+F180</f>
        <v>21400</v>
      </c>
      <c r="H180" s="38">
        <f t="shared" ref="H180:H211" si="13">ROUND(D180*G180,2)</f>
        <v>21400</v>
      </c>
    </row>
    <row r="181" spans="1:8" ht="21.75" customHeight="1" x14ac:dyDescent="0.35">
      <c r="A181" s="39" t="s">
        <v>487</v>
      </c>
      <c r="B181" s="40" t="s">
        <v>488</v>
      </c>
      <c r="C181" s="41" t="s">
        <v>161</v>
      </c>
      <c r="D181" s="42">
        <v>1</v>
      </c>
      <c r="E181" s="36">
        <v>0</v>
      </c>
      <c r="F181" s="36">
        <v>6800</v>
      </c>
      <c r="G181" s="43">
        <f t="shared" si="12"/>
        <v>6800</v>
      </c>
      <c r="H181" s="44">
        <f t="shared" si="13"/>
        <v>6800</v>
      </c>
    </row>
    <row r="182" spans="1:8" ht="21.75" customHeight="1" x14ac:dyDescent="0.35">
      <c r="A182" s="34" t="s">
        <v>489</v>
      </c>
      <c r="B182" s="19" t="s">
        <v>490</v>
      </c>
      <c r="C182" s="20" t="s">
        <v>218</v>
      </c>
      <c r="D182" s="35">
        <v>1</v>
      </c>
      <c r="E182" s="36">
        <v>5200</v>
      </c>
      <c r="F182" s="36">
        <v>880</v>
      </c>
      <c r="G182" s="37">
        <f t="shared" si="12"/>
        <v>6080</v>
      </c>
      <c r="H182" s="38">
        <f t="shared" si="13"/>
        <v>6080</v>
      </c>
    </row>
    <row r="183" spans="1:8" ht="21.75" customHeight="1" x14ac:dyDescent="0.35">
      <c r="A183" s="39" t="s">
        <v>491</v>
      </c>
      <c r="B183" s="40" t="s">
        <v>492</v>
      </c>
      <c r="C183" s="41" t="s">
        <v>218</v>
      </c>
      <c r="D183" s="42">
        <v>1</v>
      </c>
      <c r="E183" s="36">
        <v>3800</v>
      </c>
      <c r="F183" s="36">
        <v>720</v>
      </c>
      <c r="G183" s="43">
        <f t="shared" si="12"/>
        <v>4520</v>
      </c>
      <c r="H183" s="44">
        <f t="shared" si="13"/>
        <v>4520</v>
      </c>
    </row>
    <row r="184" spans="1:8" ht="21.75" customHeight="1" x14ac:dyDescent="0.35">
      <c r="A184" s="34" t="s">
        <v>493</v>
      </c>
      <c r="B184" s="19" t="s">
        <v>494</v>
      </c>
      <c r="C184" s="20" t="s">
        <v>218</v>
      </c>
      <c r="D184" s="35">
        <v>1</v>
      </c>
      <c r="E184" s="36">
        <v>4600</v>
      </c>
      <c r="F184" s="36">
        <v>800</v>
      </c>
      <c r="G184" s="37">
        <f t="shared" si="12"/>
        <v>5400</v>
      </c>
      <c r="H184" s="38">
        <f t="shared" si="13"/>
        <v>5400</v>
      </c>
    </row>
    <row r="185" spans="1:8" ht="21.75" customHeight="1" x14ac:dyDescent="0.35">
      <c r="A185" s="39" t="s">
        <v>495</v>
      </c>
      <c r="B185" s="40" t="s">
        <v>496</v>
      </c>
      <c r="C185" s="41" t="s">
        <v>218</v>
      </c>
      <c r="D185" s="42">
        <v>1</v>
      </c>
      <c r="E185" s="36">
        <v>3400</v>
      </c>
      <c r="F185" s="36">
        <v>670</v>
      </c>
      <c r="G185" s="43">
        <f t="shared" si="12"/>
        <v>4070</v>
      </c>
      <c r="H185" s="44">
        <f t="shared" si="13"/>
        <v>4070</v>
      </c>
    </row>
    <row r="186" spans="1:8" ht="21.75" customHeight="1" x14ac:dyDescent="0.35">
      <c r="A186" s="34" t="s">
        <v>497</v>
      </c>
      <c r="B186" s="19" t="s">
        <v>498</v>
      </c>
      <c r="C186" s="20" t="s">
        <v>218</v>
      </c>
      <c r="D186" s="35">
        <v>1</v>
      </c>
      <c r="E186" s="36">
        <v>3400</v>
      </c>
      <c r="F186" s="36">
        <v>670</v>
      </c>
      <c r="G186" s="37">
        <f t="shared" si="12"/>
        <v>4070</v>
      </c>
      <c r="H186" s="38">
        <f t="shared" si="13"/>
        <v>4070</v>
      </c>
    </row>
    <row r="187" spans="1:8" ht="21.75" customHeight="1" x14ac:dyDescent="0.35">
      <c r="A187" s="39" t="s">
        <v>499</v>
      </c>
      <c r="B187" s="40" t="s">
        <v>500</v>
      </c>
      <c r="C187" s="41" t="s">
        <v>218</v>
      </c>
      <c r="D187" s="42">
        <v>1</v>
      </c>
      <c r="E187" s="36">
        <v>3900</v>
      </c>
      <c r="F187" s="36">
        <v>720</v>
      </c>
      <c r="G187" s="43">
        <f t="shared" si="12"/>
        <v>4620</v>
      </c>
      <c r="H187" s="44">
        <f t="shared" si="13"/>
        <v>4620</v>
      </c>
    </row>
    <row r="188" spans="1:8" ht="21.75" customHeight="1" x14ac:dyDescent="0.35">
      <c r="A188" s="34" t="s">
        <v>501</v>
      </c>
      <c r="B188" s="19" t="s">
        <v>502</v>
      </c>
      <c r="C188" s="20" t="s">
        <v>218</v>
      </c>
      <c r="D188" s="35">
        <v>1</v>
      </c>
      <c r="E188" s="36">
        <v>3900</v>
      </c>
      <c r="F188" s="36">
        <v>720</v>
      </c>
      <c r="G188" s="37">
        <f t="shared" si="12"/>
        <v>4620</v>
      </c>
      <c r="H188" s="38">
        <f t="shared" si="13"/>
        <v>4620</v>
      </c>
    </row>
    <row r="189" spans="1:8" ht="21.75" customHeight="1" x14ac:dyDescent="0.35">
      <c r="A189" s="39" t="s">
        <v>503</v>
      </c>
      <c r="B189" s="40" t="s">
        <v>504</v>
      </c>
      <c r="C189" s="41" t="s">
        <v>218</v>
      </c>
      <c r="D189" s="42">
        <v>1</v>
      </c>
      <c r="E189" s="36">
        <v>2900</v>
      </c>
      <c r="F189" s="36">
        <v>620</v>
      </c>
      <c r="G189" s="43">
        <f t="shared" si="12"/>
        <v>3520</v>
      </c>
      <c r="H189" s="44">
        <f t="shared" si="13"/>
        <v>3520</v>
      </c>
    </row>
    <row r="190" spans="1:8" ht="21.75" customHeight="1" x14ac:dyDescent="0.35">
      <c r="A190" s="34" t="s">
        <v>505</v>
      </c>
      <c r="B190" s="19" t="s">
        <v>506</v>
      </c>
      <c r="C190" s="20" t="s">
        <v>228</v>
      </c>
      <c r="D190" s="35">
        <v>212</v>
      </c>
      <c r="E190" s="36">
        <v>47</v>
      </c>
      <c r="F190" s="36">
        <v>23</v>
      </c>
      <c r="G190" s="37">
        <f t="shared" si="12"/>
        <v>70</v>
      </c>
      <c r="H190" s="38">
        <f t="shared" si="13"/>
        <v>14840</v>
      </c>
    </row>
    <row r="191" spans="1:8" ht="21.75" customHeight="1" x14ac:dyDescent="0.35">
      <c r="A191" s="39" t="s">
        <v>507</v>
      </c>
      <c r="B191" s="40" t="s">
        <v>508</v>
      </c>
      <c r="C191" s="41" t="s">
        <v>228</v>
      </c>
      <c r="D191" s="42">
        <v>8.4700000000000006</v>
      </c>
      <c r="E191" s="36">
        <v>33</v>
      </c>
      <c r="F191" s="36">
        <v>19</v>
      </c>
      <c r="G191" s="43">
        <f t="shared" si="12"/>
        <v>52</v>
      </c>
      <c r="H191" s="44">
        <f t="shared" si="13"/>
        <v>440.44</v>
      </c>
    </row>
    <row r="192" spans="1:8" ht="21.75" customHeight="1" x14ac:dyDescent="0.35">
      <c r="A192" s="34" t="s">
        <v>509</v>
      </c>
      <c r="B192" s="19" t="s">
        <v>510</v>
      </c>
      <c r="C192" s="20" t="s">
        <v>228</v>
      </c>
      <c r="D192" s="35">
        <v>41.53</v>
      </c>
      <c r="E192" s="36">
        <v>19</v>
      </c>
      <c r="F192" s="36">
        <v>13</v>
      </c>
      <c r="G192" s="37">
        <f t="shared" si="12"/>
        <v>32</v>
      </c>
      <c r="H192" s="38">
        <f t="shared" si="13"/>
        <v>1328.96</v>
      </c>
    </row>
    <row r="193" spans="1:8" ht="21.75" customHeight="1" x14ac:dyDescent="0.35">
      <c r="A193" s="39" t="s">
        <v>511</v>
      </c>
      <c r="B193" s="40" t="s">
        <v>512</v>
      </c>
      <c r="C193" s="41" t="s">
        <v>228</v>
      </c>
      <c r="D193" s="42">
        <v>374.4</v>
      </c>
      <c r="E193" s="36">
        <v>3.3</v>
      </c>
      <c r="F193" s="36">
        <v>4.9000000000000004</v>
      </c>
      <c r="G193" s="43">
        <f t="shared" si="12"/>
        <v>8.1999999999999993</v>
      </c>
      <c r="H193" s="44">
        <f t="shared" si="13"/>
        <v>3070.08</v>
      </c>
    </row>
    <row r="194" spans="1:8" ht="21.75" customHeight="1" x14ac:dyDescent="0.35">
      <c r="A194" s="34" t="s">
        <v>513</v>
      </c>
      <c r="B194" s="19" t="s">
        <v>514</v>
      </c>
      <c r="C194" s="20" t="s">
        <v>228</v>
      </c>
      <c r="D194" s="35">
        <v>987.49</v>
      </c>
      <c r="E194" s="36">
        <v>3.7</v>
      </c>
      <c r="F194" s="36">
        <v>5.3</v>
      </c>
      <c r="G194" s="37">
        <f t="shared" si="12"/>
        <v>9</v>
      </c>
      <c r="H194" s="38">
        <f t="shared" si="13"/>
        <v>8887.41</v>
      </c>
    </row>
    <row r="195" spans="1:8" ht="21.75" customHeight="1" x14ac:dyDescent="0.35">
      <c r="A195" s="39" t="s">
        <v>515</v>
      </c>
      <c r="B195" s="40" t="s">
        <v>516</v>
      </c>
      <c r="C195" s="41" t="s">
        <v>228</v>
      </c>
      <c r="D195" s="42">
        <v>586.16999999999996</v>
      </c>
      <c r="E195" s="36">
        <v>4.5</v>
      </c>
      <c r="F195" s="36">
        <v>5.7</v>
      </c>
      <c r="G195" s="43">
        <f t="shared" si="12"/>
        <v>10.199999999999999</v>
      </c>
      <c r="H195" s="44">
        <f t="shared" si="13"/>
        <v>5978.93</v>
      </c>
    </row>
    <row r="196" spans="1:8" ht="21.75" customHeight="1" x14ac:dyDescent="0.35">
      <c r="A196" s="34" t="s">
        <v>517</v>
      </c>
      <c r="B196" s="19" t="s">
        <v>518</v>
      </c>
      <c r="C196" s="20" t="s">
        <v>228</v>
      </c>
      <c r="D196" s="35">
        <v>176.71</v>
      </c>
      <c r="E196" s="36">
        <v>5.7</v>
      </c>
      <c r="F196" s="36">
        <v>6.3</v>
      </c>
      <c r="G196" s="37">
        <f t="shared" si="12"/>
        <v>12</v>
      </c>
      <c r="H196" s="38">
        <f t="shared" si="13"/>
        <v>2120.52</v>
      </c>
    </row>
    <row r="197" spans="1:8" ht="21.75" customHeight="1" x14ac:dyDescent="0.35">
      <c r="A197" s="39" t="s">
        <v>519</v>
      </c>
      <c r="B197" s="40" t="s">
        <v>520</v>
      </c>
      <c r="C197" s="41" t="s">
        <v>228</v>
      </c>
      <c r="D197" s="42">
        <v>13.14</v>
      </c>
      <c r="E197" s="36">
        <v>7.9</v>
      </c>
      <c r="F197" s="36">
        <v>7.1</v>
      </c>
      <c r="G197" s="43">
        <f t="shared" si="12"/>
        <v>15</v>
      </c>
      <c r="H197" s="44">
        <f t="shared" si="13"/>
        <v>197.1</v>
      </c>
    </row>
    <row r="198" spans="1:8" ht="21.75" customHeight="1" x14ac:dyDescent="0.35">
      <c r="A198" s="34" t="s">
        <v>521</v>
      </c>
      <c r="B198" s="19" t="s">
        <v>522</v>
      </c>
      <c r="C198" s="20" t="s">
        <v>228</v>
      </c>
      <c r="D198" s="35">
        <v>464.53</v>
      </c>
      <c r="E198" s="36">
        <v>12.6</v>
      </c>
      <c r="F198" s="36">
        <v>9.6</v>
      </c>
      <c r="G198" s="37">
        <f t="shared" si="12"/>
        <v>22.2</v>
      </c>
      <c r="H198" s="38">
        <f t="shared" si="13"/>
        <v>10312.57</v>
      </c>
    </row>
    <row r="199" spans="1:8" ht="13.5" customHeight="1" x14ac:dyDescent="0.35">
      <c r="A199" s="39" t="s">
        <v>523</v>
      </c>
      <c r="B199" s="40" t="s">
        <v>524</v>
      </c>
      <c r="C199" s="41" t="s">
        <v>228</v>
      </c>
      <c r="D199" s="42">
        <v>2.25</v>
      </c>
      <c r="E199" s="36">
        <v>28.5</v>
      </c>
      <c r="F199" s="36">
        <v>16.5</v>
      </c>
      <c r="G199" s="43">
        <f t="shared" si="12"/>
        <v>45</v>
      </c>
      <c r="H199" s="44">
        <f t="shared" si="13"/>
        <v>101.25</v>
      </c>
    </row>
    <row r="200" spans="1:8" ht="21.75" customHeight="1" x14ac:dyDescent="0.35">
      <c r="A200" s="34" t="s">
        <v>525</v>
      </c>
      <c r="B200" s="19" t="s">
        <v>526</v>
      </c>
      <c r="C200" s="20" t="s">
        <v>228</v>
      </c>
      <c r="D200" s="35">
        <v>50</v>
      </c>
      <c r="E200" s="36">
        <v>119</v>
      </c>
      <c r="F200" s="36">
        <v>23</v>
      </c>
      <c r="G200" s="37">
        <f t="shared" si="12"/>
        <v>142</v>
      </c>
      <c r="H200" s="38">
        <f t="shared" si="13"/>
        <v>7100</v>
      </c>
    </row>
    <row r="201" spans="1:8" ht="13.5" customHeight="1" x14ac:dyDescent="0.35">
      <c r="A201" s="39" t="s">
        <v>527</v>
      </c>
      <c r="B201" s="40" t="s">
        <v>528</v>
      </c>
      <c r="C201" s="41" t="s">
        <v>228</v>
      </c>
      <c r="D201" s="42">
        <v>175</v>
      </c>
      <c r="E201" s="36">
        <v>99</v>
      </c>
      <c r="F201" s="36">
        <v>21</v>
      </c>
      <c r="G201" s="43">
        <f t="shared" si="12"/>
        <v>120</v>
      </c>
      <c r="H201" s="44">
        <f t="shared" si="13"/>
        <v>21000</v>
      </c>
    </row>
    <row r="202" spans="1:8" ht="13.5" customHeight="1" x14ac:dyDescent="0.35">
      <c r="A202" s="34" t="s">
        <v>529</v>
      </c>
      <c r="B202" s="19" t="s">
        <v>530</v>
      </c>
      <c r="C202" s="20" t="s">
        <v>228</v>
      </c>
      <c r="D202" s="35">
        <v>84.6</v>
      </c>
      <c r="E202" s="36">
        <v>63</v>
      </c>
      <c r="F202" s="36">
        <v>17</v>
      </c>
      <c r="G202" s="37">
        <f t="shared" si="12"/>
        <v>80</v>
      </c>
      <c r="H202" s="38">
        <f t="shared" si="13"/>
        <v>6768</v>
      </c>
    </row>
    <row r="203" spans="1:8" ht="13.5" customHeight="1" x14ac:dyDescent="0.35">
      <c r="A203" s="39" t="s">
        <v>531</v>
      </c>
      <c r="B203" s="40" t="s">
        <v>532</v>
      </c>
      <c r="C203" s="41" t="s">
        <v>228</v>
      </c>
      <c r="D203" s="42">
        <v>11.9</v>
      </c>
      <c r="E203" s="36">
        <v>47</v>
      </c>
      <c r="F203" s="36">
        <v>15</v>
      </c>
      <c r="G203" s="43">
        <f t="shared" si="12"/>
        <v>62</v>
      </c>
      <c r="H203" s="44">
        <f t="shared" si="13"/>
        <v>737.8</v>
      </c>
    </row>
    <row r="204" spans="1:8" ht="13.5" customHeight="1" x14ac:dyDescent="0.35">
      <c r="A204" s="34" t="s">
        <v>533</v>
      </c>
      <c r="B204" s="19" t="s">
        <v>534</v>
      </c>
      <c r="C204" s="20" t="s">
        <v>228</v>
      </c>
      <c r="D204" s="35">
        <v>64.95</v>
      </c>
      <c r="E204" s="36">
        <v>24.5</v>
      </c>
      <c r="F204" s="36">
        <v>9.5</v>
      </c>
      <c r="G204" s="37">
        <f t="shared" si="12"/>
        <v>34</v>
      </c>
      <c r="H204" s="38">
        <f t="shared" si="13"/>
        <v>2208.3000000000002</v>
      </c>
    </row>
    <row r="205" spans="1:8" ht="13.5" customHeight="1" x14ac:dyDescent="0.35">
      <c r="A205" s="39" t="s">
        <v>535</v>
      </c>
      <c r="B205" s="40" t="s">
        <v>536</v>
      </c>
      <c r="C205" s="41" t="s">
        <v>228</v>
      </c>
      <c r="D205" s="42">
        <v>396</v>
      </c>
      <c r="E205" s="36">
        <v>15.8</v>
      </c>
      <c r="F205" s="36">
        <v>7.8</v>
      </c>
      <c r="G205" s="43">
        <f t="shared" si="12"/>
        <v>23.6</v>
      </c>
      <c r="H205" s="44">
        <f t="shared" si="13"/>
        <v>9345.6</v>
      </c>
    </row>
    <row r="206" spans="1:8" ht="13.5" customHeight="1" x14ac:dyDescent="0.35">
      <c r="A206" s="34" t="s">
        <v>537</v>
      </c>
      <c r="B206" s="19" t="s">
        <v>538</v>
      </c>
      <c r="C206" s="20" t="s">
        <v>228</v>
      </c>
      <c r="D206" s="35">
        <v>66</v>
      </c>
      <c r="E206" s="36">
        <v>16.8</v>
      </c>
      <c r="F206" s="36">
        <v>8.1999999999999993</v>
      </c>
      <c r="G206" s="37">
        <f t="shared" si="12"/>
        <v>25</v>
      </c>
      <c r="H206" s="38">
        <f t="shared" si="13"/>
        <v>1650</v>
      </c>
    </row>
    <row r="207" spans="1:8" ht="13.5" customHeight="1" x14ac:dyDescent="0.35">
      <c r="A207" s="39" t="s">
        <v>539</v>
      </c>
      <c r="B207" s="40" t="s">
        <v>540</v>
      </c>
      <c r="C207" s="41" t="s">
        <v>228</v>
      </c>
      <c r="D207" s="42">
        <v>64.540000000000006</v>
      </c>
      <c r="E207" s="36">
        <v>11.2</v>
      </c>
      <c r="F207" s="36">
        <v>6.8</v>
      </c>
      <c r="G207" s="43">
        <f t="shared" si="12"/>
        <v>18</v>
      </c>
      <c r="H207" s="44">
        <f t="shared" si="13"/>
        <v>1161.72</v>
      </c>
    </row>
    <row r="208" spans="1:8" ht="13.5" customHeight="1" x14ac:dyDescent="0.35">
      <c r="A208" s="34" t="s">
        <v>541</v>
      </c>
      <c r="B208" s="19" t="s">
        <v>542</v>
      </c>
      <c r="C208" s="20" t="s">
        <v>228</v>
      </c>
      <c r="D208" s="35">
        <v>86.94</v>
      </c>
      <c r="E208" s="36">
        <v>8.4</v>
      </c>
      <c r="F208" s="36">
        <v>6.2</v>
      </c>
      <c r="G208" s="37">
        <f t="shared" si="12"/>
        <v>14.600000000000001</v>
      </c>
      <c r="H208" s="38">
        <f t="shared" si="13"/>
        <v>1269.32</v>
      </c>
    </row>
    <row r="209" spans="1:8" ht="13.5" customHeight="1" x14ac:dyDescent="0.35">
      <c r="A209" s="39" t="s">
        <v>543</v>
      </c>
      <c r="B209" s="40" t="s">
        <v>544</v>
      </c>
      <c r="C209" s="41" t="s">
        <v>228</v>
      </c>
      <c r="D209" s="42">
        <v>40.86</v>
      </c>
      <c r="E209" s="36">
        <v>5.8</v>
      </c>
      <c r="F209" s="36">
        <v>5.4</v>
      </c>
      <c r="G209" s="43">
        <f t="shared" si="12"/>
        <v>11.2</v>
      </c>
      <c r="H209" s="44">
        <f t="shared" si="13"/>
        <v>457.63</v>
      </c>
    </row>
    <row r="210" spans="1:8" ht="21.75" customHeight="1" x14ac:dyDescent="0.35">
      <c r="A210" s="34" t="s">
        <v>545</v>
      </c>
      <c r="B210" s="19" t="s">
        <v>546</v>
      </c>
      <c r="C210" s="20" t="s">
        <v>247</v>
      </c>
      <c r="D210" s="35">
        <v>8</v>
      </c>
      <c r="E210" s="36">
        <v>70</v>
      </c>
      <c r="F210" s="36">
        <v>44</v>
      </c>
      <c r="G210" s="37">
        <f t="shared" si="12"/>
        <v>114</v>
      </c>
      <c r="H210" s="38">
        <f t="shared" si="13"/>
        <v>912</v>
      </c>
    </row>
    <row r="211" spans="1:8" ht="21.75" customHeight="1" x14ac:dyDescent="0.35">
      <c r="A211" s="39" t="s">
        <v>547</v>
      </c>
      <c r="B211" s="40" t="s">
        <v>548</v>
      </c>
      <c r="C211" s="41" t="s">
        <v>247</v>
      </c>
      <c r="D211" s="42">
        <v>38</v>
      </c>
      <c r="E211" s="36">
        <v>44</v>
      </c>
      <c r="F211" s="36">
        <v>29</v>
      </c>
      <c r="G211" s="43">
        <f t="shared" si="12"/>
        <v>73</v>
      </c>
      <c r="H211" s="44">
        <f t="shared" si="13"/>
        <v>2774</v>
      </c>
    </row>
    <row r="212" spans="1:8" ht="21.75" customHeight="1" x14ac:dyDescent="0.35">
      <c r="A212" s="34" t="s">
        <v>549</v>
      </c>
      <c r="B212" s="19" t="s">
        <v>550</v>
      </c>
      <c r="C212" s="20" t="s">
        <v>247</v>
      </c>
      <c r="D212" s="35">
        <v>50</v>
      </c>
      <c r="E212" s="36">
        <v>25</v>
      </c>
      <c r="F212" s="36">
        <v>19</v>
      </c>
      <c r="G212" s="37">
        <f t="shared" ref="G212:G243" si="14">E212+F212</f>
        <v>44</v>
      </c>
      <c r="H212" s="38">
        <f t="shared" ref="H212:H243" si="15">ROUND(D212*G212,2)</f>
        <v>2200</v>
      </c>
    </row>
    <row r="213" spans="1:8" ht="21.75" customHeight="1" x14ac:dyDescent="0.35">
      <c r="A213" s="39" t="s">
        <v>551</v>
      </c>
      <c r="B213" s="40" t="s">
        <v>552</v>
      </c>
      <c r="C213" s="41" t="s">
        <v>228</v>
      </c>
      <c r="D213" s="42">
        <v>257.24</v>
      </c>
      <c r="E213" s="36">
        <v>1.1499999999999999</v>
      </c>
      <c r="F213" s="36">
        <v>1.35</v>
      </c>
      <c r="G213" s="43">
        <f t="shared" si="14"/>
        <v>2.5</v>
      </c>
      <c r="H213" s="44">
        <f t="shared" si="15"/>
        <v>643.1</v>
      </c>
    </row>
    <row r="214" spans="1:8" ht="13.5" customHeight="1" x14ac:dyDescent="0.35">
      <c r="A214" s="34" t="s">
        <v>553</v>
      </c>
      <c r="B214" s="19" t="s">
        <v>554</v>
      </c>
      <c r="C214" s="20" t="s">
        <v>228</v>
      </c>
      <c r="D214" s="35">
        <v>241.7</v>
      </c>
      <c r="E214" s="36">
        <v>1.7</v>
      </c>
      <c r="F214" s="36">
        <v>1.5</v>
      </c>
      <c r="G214" s="37">
        <f t="shared" si="14"/>
        <v>3.2</v>
      </c>
      <c r="H214" s="38">
        <f t="shared" si="15"/>
        <v>773.44</v>
      </c>
    </row>
    <row r="215" spans="1:8" ht="13.5" customHeight="1" x14ac:dyDescent="0.35">
      <c r="A215" s="39" t="s">
        <v>555</v>
      </c>
      <c r="B215" s="40" t="s">
        <v>556</v>
      </c>
      <c r="C215" s="41" t="s">
        <v>228</v>
      </c>
      <c r="D215" s="42">
        <v>4283.26</v>
      </c>
      <c r="E215" s="36">
        <v>1.1000000000000001</v>
      </c>
      <c r="F215" s="36">
        <v>1.3</v>
      </c>
      <c r="G215" s="43">
        <f t="shared" si="14"/>
        <v>2.4000000000000004</v>
      </c>
      <c r="H215" s="44">
        <f t="shared" si="15"/>
        <v>10279.82</v>
      </c>
    </row>
    <row r="216" spans="1:8" ht="13.5" customHeight="1" x14ac:dyDescent="0.35">
      <c r="A216" s="34" t="s">
        <v>557</v>
      </c>
      <c r="B216" s="19" t="s">
        <v>558</v>
      </c>
      <c r="C216" s="20" t="s">
        <v>228</v>
      </c>
      <c r="D216" s="35">
        <v>79.75</v>
      </c>
      <c r="E216" s="36">
        <v>0.85</v>
      </c>
      <c r="F216" s="36">
        <v>1.2</v>
      </c>
      <c r="G216" s="37">
        <f t="shared" si="14"/>
        <v>2.0499999999999998</v>
      </c>
      <c r="H216" s="38">
        <f t="shared" si="15"/>
        <v>163.49</v>
      </c>
    </row>
    <row r="217" spans="1:8" ht="13.5" customHeight="1" x14ac:dyDescent="0.35">
      <c r="A217" s="39" t="s">
        <v>559</v>
      </c>
      <c r="B217" s="40" t="s">
        <v>560</v>
      </c>
      <c r="C217" s="41" t="s">
        <v>228</v>
      </c>
      <c r="D217" s="42">
        <v>275.55</v>
      </c>
      <c r="E217" s="36">
        <v>2.4</v>
      </c>
      <c r="F217" s="36">
        <v>1.55</v>
      </c>
      <c r="G217" s="43">
        <f t="shared" si="14"/>
        <v>3.95</v>
      </c>
      <c r="H217" s="44">
        <f t="shared" si="15"/>
        <v>1088.42</v>
      </c>
    </row>
    <row r="218" spans="1:8" ht="13.5" customHeight="1" x14ac:dyDescent="0.35">
      <c r="A218" s="34" t="s">
        <v>561</v>
      </c>
      <c r="B218" s="19" t="s">
        <v>562</v>
      </c>
      <c r="C218" s="20" t="s">
        <v>228</v>
      </c>
      <c r="D218" s="35">
        <v>220</v>
      </c>
      <c r="E218" s="36">
        <v>1.9</v>
      </c>
      <c r="F218" s="36">
        <v>1.45</v>
      </c>
      <c r="G218" s="37">
        <f t="shared" si="14"/>
        <v>3.3499999999999996</v>
      </c>
      <c r="H218" s="38">
        <f t="shared" si="15"/>
        <v>737</v>
      </c>
    </row>
    <row r="219" spans="1:8" ht="21.75" customHeight="1" x14ac:dyDescent="0.35">
      <c r="A219" s="39" t="s">
        <v>563</v>
      </c>
      <c r="B219" s="40" t="s">
        <v>564</v>
      </c>
      <c r="C219" s="41" t="s">
        <v>218</v>
      </c>
      <c r="D219" s="42">
        <v>88</v>
      </c>
      <c r="E219" s="36">
        <v>79</v>
      </c>
      <c r="F219" s="36">
        <v>33</v>
      </c>
      <c r="G219" s="43">
        <f t="shared" si="14"/>
        <v>112</v>
      </c>
      <c r="H219" s="44">
        <f t="shared" si="15"/>
        <v>9856</v>
      </c>
    </row>
    <row r="220" spans="1:8" ht="13.5" customHeight="1" x14ac:dyDescent="0.35">
      <c r="A220" s="34" t="s">
        <v>565</v>
      </c>
      <c r="B220" s="19" t="s">
        <v>566</v>
      </c>
      <c r="C220" s="20" t="s">
        <v>218</v>
      </c>
      <c r="D220" s="35">
        <v>13</v>
      </c>
      <c r="E220" s="36">
        <v>59</v>
      </c>
      <c r="F220" s="36">
        <v>27</v>
      </c>
      <c r="G220" s="37">
        <f t="shared" si="14"/>
        <v>86</v>
      </c>
      <c r="H220" s="38">
        <f t="shared" si="15"/>
        <v>1118</v>
      </c>
    </row>
    <row r="221" spans="1:8" ht="13.5" customHeight="1" x14ac:dyDescent="0.35">
      <c r="A221" s="39" t="s">
        <v>567</v>
      </c>
      <c r="B221" s="40" t="s">
        <v>568</v>
      </c>
      <c r="C221" s="41" t="s">
        <v>218</v>
      </c>
      <c r="D221" s="42">
        <v>5</v>
      </c>
      <c r="E221" s="36">
        <v>43</v>
      </c>
      <c r="F221" s="36">
        <v>23</v>
      </c>
      <c r="G221" s="43">
        <f t="shared" si="14"/>
        <v>66</v>
      </c>
      <c r="H221" s="44">
        <f t="shared" si="15"/>
        <v>330</v>
      </c>
    </row>
    <row r="222" spans="1:8" ht="13.5" customHeight="1" x14ac:dyDescent="0.35">
      <c r="A222" s="34" t="s">
        <v>569</v>
      </c>
      <c r="B222" s="19" t="s">
        <v>570</v>
      </c>
      <c r="C222" s="20" t="s">
        <v>218</v>
      </c>
      <c r="D222" s="35">
        <v>20</v>
      </c>
      <c r="E222" s="36">
        <v>69</v>
      </c>
      <c r="F222" s="36">
        <v>27</v>
      </c>
      <c r="G222" s="37">
        <f t="shared" si="14"/>
        <v>96</v>
      </c>
      <c r="H222" s="38">
        <f t="shared" si="15"/>
        <v>1920</v>
      </c>
    </row>
    <row r="223" spans="1:8" ht="21.75" customHeight="1" x14ac:dyDescent="0.35">
      <c r="A223" s="39" t="s">
        <v>571</v>
      </c>
      <c r="B223" s="40" t="s">
        <v>572</v>
      </c>
      <c r="C223" s="41" t="s">
        <v>218</v>
      </c>
      <c r="D223" s="42">
        <v>6</v>
      </c>
      <c r="E223" s="36">
        <v>53</v>
      </c>
      <c r="F223" s="36">
        <v>23</v>
      </c>
      <c r="G223" s="43">
        <f t="shared" si="14"/>
        <v>76</v>
      </c>
      <c r="H223" s="44">
        <f t="shared" si="15"/>
        <v>456</v>
      </c>
    </row>
    <row r="224" spans="1:8" ht="21.75" customHeight="1" x14ac:dyDescent="0.35">
      <c r="A224" s="34" t="s">
        <v>573</v>
      </c>
      <c r="B224" s="19" t="s">
        <v>574</v>
      </c>
      <c r="C224" s="20" t="s">
        <v>218</v>
      </c>
      <c r="D224" s="35">
        <v>3</v>
      </c>
      <c r="E224" s="36">
        <v>53</v>
      </c>
      <c r="F224" s="36">
        <v>23</v>
      </c>
      <c r="G224" s="37">
        <f t="shared" si="14"/>
        <v>76</v>
      </c>
      <c r="H224" s="38">
        <f t="shared" si="15"/>
        <v>228</v>
      </c>
    </row>
    <row r="225" spans="1:8" ht="21.75" customHeight="1" x14ac:dyDescent="0.35">
      <c r="A225" s="39" t="s">
        <v>575</v>
      </c>
      <c r="B225" s="40" t="s">
        <v>576</v>
      </c>
      <c r="C225" s="41" t="s">
        <v>218</v>
      </c>
      <c r="D225" s="42">
        <v>3</v>
      </c>
      <c r="E225" s="36">
        <v>59</v>
      </c>
      <c r="F225" s="36">
        <v>25</v>
      </c>
      <c r="G225" s="43">
        <f t="shared" si="14"/>
        <v>84</v>
      </c>
      <c r="H225" s="44">
        <f t="shared" si="15"/>
        <v>252</v>
      </c>
    </row>
    <row r="226" spans="1:8" ht="13.5" customHeight="1" x14ac:dyDescent="0.35">
      <c r="A226" s="34" t="s">
        <v>577</v>
      </c>
      <c r="B226" s="19" t="s">
        <v>578</v>
      </c>
      <c r="C226" s="20" t="s">
        <v>218</v>
      </c>
      <c r="D226" s="35">
        <v>3</v>
      </c>
      <c r="E226" s="36">
        <v>59</v>
      </c>
      <c r="F226" s="36">
        <v>25</v>
      </c>
      <c r="G226" s="37">
        <f t="shared" si="14"/>
        <v>84</v>
      </c>
      <c r="H226" s="38">
        <f t="shared" si="15"/>
        <v>252</v>
      </c>
    </row>
    <row r="227" spans="1:8" ht="13.5" customHeight="1" x14ac:dyDescent="0.35">
      <c r="A227" s="39" t="s">
        <v>579</v>
      </c>
      <c r="B227" s="40" t="s">
        <v>580</v>
      </c>
      <c r="C227" s="41" t="s">
        <v>247</v>
      </c>
      <c r="D227" s="42">
        <v>13</v>
      </c>
      <c r="E227" s="36">
        <v>13</v>
      </c>
      <c r="F227" s="36">
        <v>15</v>
      </c>
      <c r="G227" s="43">
        <f t="shared" si="14"/>
        <v>28</v>
      </c>
      <c r="H227" s="44">
        <f t="shared" si="15"/>
        <v>364</v>
      </c>
    </row>
    <row r="228" spans="1:8" ht="13.5" customHeight="1" x14ac:dyDescent="0.35">
      <c r="A228" s="34" t="s">
        <v>581</v>
      </c>
      <c r="B228" s="19" t="s">
        <v>582</v>
      </c>
      <c r="C228" s="20" t="s">
        <v>247</v>
      </c>
      <c r="D228" s="35">
        <v>2</v>
      </c>
      <c r="E228" s="36">
        <v>17</v>
      </c>
      <c r="F228" s="36">
        <v>16</v>
      </c>
      <c r="G228" s="37">
        <f t="shared" si="14"/>
        <v>33</v>
      </c>
      <c r="H228" s="38">
        <f t="shared" si="15"/>
        <v>66</v>
      </c>
    </row>
    <row r="229" spans="1:8" ht="13.5" customHeight="1" x14ac:dyDescent="0.35">
      <c r="A229" s="39" t="s">
        <v>583</v>
      </c>
      <c r="B229" s="40" t="s">
        <v>584</v>
      </c>
      <c r="C229" s="41" t="s">
        <v>247</v>
      </c>
      <c r="D229" s="42">
        <v>35</v>
      </c>
      <c r="E229" s="36">
        <v>15</v>
      </c>
      <c r="F229" s="36">
        <v>17</v>
      </c>
      <c r="G229" s="43">
        <f t="shared" si="14"/>
        <v>32</v>
      </c>
      <c r="H229" s="44">
        <f t="shared" si="15"/>
        <v>1120</v>
      </c>
    </row>
    <row r="230" spans="1:8" ht="21.75" customHeight="1" x14ac:dyDescent="0.35">
      <c r="A230" s="34" t="s">
        <v>585</v>
      </c>
      <c r="B230" s="19" t="s">
        <v>586</v>
      </c>
      <c r="C230" s="20" t="s">
        <v>247</v>
      </c>
      <c r="D230" s="35">
        <v>3</v>
      </c>
      <c r="E230" s="36">
        <v>23</v>
      </c>
      <c r="F230" s="36">
        <v>19</v>
      </c>
      <c r="G230" s="37">
        <f t="shared" si="14"/>
        <v>42</v>
      </c>
      <c r="H230" s="38">
        <f t="shared" si="15"/>
        <v>126</v>
      </c>
    </row>
    <row r="231" spans="1:8" ht="13.5" customHeight="1" x14ac:dyDescent="0.35">
      <c r="A231" s="39" t="s">
        <v>587</v>
      </c>
      <c r="B231" s="40" t="s">
        <v>588</v>
      </c>
      <c r="C231" s="41" t="s">
        <v>247</v>
      </c>
      <c r="D231" s="42">
        <v>385</v>
      </c>
      <c r="E231" s="36">
        <v>4.4000000000000004</v>
      </c>
      <c r="F231" s="36">
        <v>5.7</v>
      </c>
      <c r="G231" s="43">
        <f t="shared" si="14"/>
        <v>10.100000000000001</v>
      </c>
      <c r="H231" s="44">
        <f t="shared" si="15"/>
        <v>3888.5</v>
      </c>
    </row>
    <row r="232" spans="1:8" ht="21.75" customHeight="1" x14ac:dyDescent="0.35">
      <c r="A232" s="34" t="s">
        <v>589</v>
      </c>
      <c r="B232" s="19" t="s">
        <v>590</v>
      </c>
      <c r="C232" s="20" t="s">
        <v>247</v>
      </c>
      <c r="D232" s="35">
        <v>4</v>
      </c>
      <c r="E232" s="36">
        <v>148</v>
      </c>
      <c r="F232" s="36">
        <v>68</v>
      </c>
      <c r="G232" s="37">
        <f t="shared" si="14"/>
        <v>216</v>
      </c>
      <c r="H232" s="38">
        <f t="shared" si="15"/>
        <v>864</v>
      </c>
    </row>
    <row r="233" spans="1:8" ht="13.5" customHeight="1" x14ac:dyDescent="0.35">
      <c r="A233" s="39" t="s">
        <v>591</v>
      </c>
      <c r="B233" s="40" t="s">
        <v>592</v>
      </c>
      <c r="C233" s="41" t="s">
        <v>228</v>
      </c>
      <c r="D233" s="42">
        <v>44</v>
      </c>
      <c r="E233" s="36">
        <v>6.8</v>
      </c>
      <c r="F233" s="36">
        <v>8.8000000000000007</v>
      </c>
      <c r="G233" s="43">
        <f t="shared" si="14"/>
        <v>15.600000000000001</v>
      </c>
      <c r="H233" s="44">
        <f t="shared" si="15"/>
        <v>686.4</v>
      </c>
    </row>
    <row r="234" spans="1:8" ht="13.5" customHeight="1" x14ac:dyDescent="0.35">
      <c r="A234" s="34" t="s">
        <v>593</v>
      </c>
      <c r="B234" s="19" t="s">
        <v>594</v>
      </c>
      <c r="C234" s="20" t="s">
        <v>228</v>
      </c>
      <c r="D234" s="35">
        <v>1100</v>
      </c>
      <c r="E234" s="36">
        <v>1.4</v>
      </c>
      <c r="F234" s="36">
        <v>1.35</v>
      </c>
      <c r="G234" s="37">
        <f t="shared" si="14"/>
        <v>2.75</v>
      </c>
      <c r="H234" s="38">
        <f t="shared" si="15"/>
        <v>3025</v>
      </c>
    </row>
    <row r="235" spans="1:8" ht="13.5" customHeight="1" x14ac:dyDescent="0.35">
      <c r="A235" s="39" t="s">
        <v>595</v>
      </c>
      <c r="B235" s="40" t="s">
        <v>596</v>
      </c>
      <c r="C235" s="41" t="s">
        <v>228</v>
      </c>
      <c r="D235" s="42">
        <v>1100</v>
      </c>
      <c r="E235" s="36">
        <v>1.65</v>
      </c>
      <c r="F235" s="36">
        <v>2.25</v>
      </c>
      <c r="G235" s="43">
        <f t="shared" si="14"/>
        <v>3.9</v>
      </c>
      <c r="H235" s="44">
        <f t="shared" si="15"/>
        <v>4290</v>
      </c>
    </row>
    <row r="236" spans="1:8" ht="21.75" customHeight="1" x14ac:dyDescent="0.35">
      <c r="A236" s="34" t="s">
        <v>597</v>
      </c>
      <c r="B236" s="19" t="s">
        <v>598</v>
      </c>
      <c r="C236" s="20" t="s">
        <v>161</v>
      </c>
      <c r="D236" s="35">
        <v>1</v>
      </c>
      <c r="E236" s="36">
        <v>0</v>
      </c>
      <c r="F236" s="36">
        <v>8800</v>
      </c>
      <c r="G236" s="37">
        <f t="shared" si="14"/>
        <v>8800</v>
      </c>
      <c r="H236" s="38">
        <f t="shared" si="15"/>
        <v>8800</v>
      </c>
    </row>
    <row r="237" spans="1:8" ht="13.5" customHeight="1" x14ac:dyDescent="0.35">
      <c r="A237" s="39" t="s">
        <v>599</v>
      </c>
      <c r="B237" s="40" t="s">
        <v>600</v>
      </c>
      <c r="C237" s="41" t="s">
        <v>334</v>
      </c>
      <c r="D237" s="42">
        <v>2433.33</v>
      </c>
      <c r="E237" s="36">
        <v>2.7</v>
      </c>
      <c r="F237" s="36">
        <v>2.35</v>
      </c>
      <c r="G237" s="43">
        <f t="shared" si="14"/>
        <v>5.0500000000000007</v>
      </c>
      <c r="H237" s="44">
        <f t="shared" si="15"/>
        <v>12288.32</v>
      </c>
    </row>
    <row r="238" spans="1:8" ht="21.75" customHeight="1" x14ac:dyDescent="0.35">
      <c r="A238" s="34" t="s">
        <v>601</v>
      </c>
      <c r="B238" s="19" t="s">
        <v>602</v>
      </c>
      <c r="C238" s="20" t="s">
        <v>161</v>
      </c>
      <c r="D238" s="35">
        <v>1</v>
      </c>
      <c r="E238" s="36">
        <v>12500</v>
      </c>
      <c r="F238" s="36">
        <v>0</v>
      </c>
      <c r="G238" s="37">
        <f t="shared" si="14"/>
        <v>12500</v>
      </c>
      <c r="H238" s="38">
        <f t="shared" si="15"/>
        <v>12500</v>
      </c>
    </row>
    <row r="239" spans="1:8" ht="21.75" customHeight="1" x14ac:dyDescent="0.35">
      <c r="A239" s="39" t="s">
        <v>603</v>
      </c>
      <c r="B239" s="40" t="s">
        <v>604</v>
      </c>
      <c r="C239" s="41" t="s">
        <v>334</v>
      </c>
      <c r="D239" s="42">
        <v>2433.33</v>
      </c>
      <c r="E239" s="36">
        <v>0.7</v>
      </c>
      <c r="F239" s="36">
        <v>1.1499999999999999</v>
      </c>
      <c r="G239" s="43">
        <f t="shared" si="14"/>
        <v>1.8499999999999999</v>
      </c>
      <c r="H239" s="44">
        <f t="shared" si="15"/>
        <v>4501.66</v>
      </c>
    </row>
    <row r="240" spans="1:8" ht="21.75" customHeight="1" x14ac:dyDescent="0.35">
      <c r="A240" s="34" t="s">
        <v>605</v>
      </c>
      <c r="B240" s="19" t="s">
        <v>606</v>
      </c>
      <c r="C240" s="20" t="s">
        <v>161</v>
      </c>
      <c r="D240" s="35">
        <v>1</v>
      </c>
      <c r="E240" s="36">
        <v>0</v>
      </c>
      <c r="F240" s="36">
        <v>4500</v>
      </c>
      <c r="G240" s="37">
        <f t="shared" si="14"/>
        <v>4500</v>
      </c>
      <c r="H240" s="38">
        <f t="shared" si="15"/>
        <v>4500</v>
      </c>
    </row>
    <row r="241" spans="1:8" ht="21.75" customHeight="1" x14ac:dyDescent="0.35">
      <c r="A241" s="39" t="s">
        <v>607</v>
      </c>
      <c r="B241" s="40" t="s">
        <v>608</v>
      </c>
      <c r="C241" s="41" t="s">
        <v>161</v>
      </c>
      <c r="D241" s="42">
        <v>1</v>
      </c>
      <c r="E241" s="36">
        <v>0</v>
      </c>
      <c r="F241" s="36">
        <v>8800</v>
      </c>
      <c r="G241" s="43">
        <f t="shared" si="14"/>
        <v>8800</v>
      </c>
      <c r="H241" s="44">
        <f t="shared" si="15"/>
        <v>8800</v>
      </c>
    </row>
    <row r="242" spans="1:8" ht="21.75" customHeight="1" x14ac:dyDescent="0.35">
      <c r="A242" s="34" t="s">
        <v>609</v>
      </c>
      <c r="B242" s="19" t="s">
        <v>610</v>
      </c>
      <c r="C242" s="20" t="s">
        <v>161</v>
      </c>
      <c r="D242" s="35">
        <v>1</v>
      </c>
      <c r="E242" s="36">
        <v>0</v>
      </c>
      <c r="F242" s="36">
        <v>11500</v>
      </c>
      <c r="G242" s="37">
        <f t="shared" si="14"/>
        <v>11500</v>
      </c>
      <c r="H242" s="38">
        <f t="shared" si="15"/>
        <v>11500</v>
      </c>
    </row>
    <row r="243" spans="1:8" ht="19.5" customHeight="1" x14ac:dyDescent="0.35">
      <c r="A243" s="24" t="s">
        <v>611</v>
      </c>
      <c r="B243" s="117" t="s">
        <v>612</v>
      </c>
      <c r="C243" s="117"/>
      <c r="D243" s="117"/>
      <c r="E243" s="117"/>
      <c r="F243" s="117"/>
      <c r="G243" s="117"/>
      <c r="H243" s="45">
        <f>SUM(H180:H242)</f>
        <v>275378.78000000003</v>
      </c>
    </row>
    <row r="245" spans="1:8" ht="19.5" customHeight="1" x14ac:dyDescent="0.35">
      <c r="A245" s="116" t="s">
        <v>613</v>
      </c>
      <c r="B245" s="116"/>
      <c r="C245" s="116"/>
      <c r="D245" s="116"/>
      <c r="E245" s="116"/>
      <c r="F245" s="116"/>
      <c r="G245" s="116"/>
      <c r="H245" s="116"/>
    </row>
    <row r="246" spans="1:8" ht="13.5" customHeight="1" x14ac:dyDescent="0.35">
      <c r="A246" s="34" t="s">
        <v>614</v>
      </c>
      <c r="B246" s="19" t="s">
        <v>615</v>
      </c>
      <c r="C246" s="20" t="s">
        <v>218</v>
      </c>
      <c r="D246" s="35">
        <v>6</v>
      </c>
      <c r="E246" s="36">
        <v>330</v>
      </c>
      <c r="F246" s="36">
        <v>115</v>
      </c>
      <c r="G246" s="37">
        <f t="shared" ref="G246:G280" si="16">E246+F246</f>
        <v>445</v>
      </c>
      <c r="H246" s="38">
        <f t="shared" ref="H246:H280" si="17">ROUND(D246*G246,2)</f>
        <v>2670</v>
      </c>
    </row>
    <row r="247" spans="1:8" ht="13.5" customHeight="1" x14ac:dyDescent="0.35">
      <c r="A247" s="39" t="s">
        <v>616</v>
      </c>
      <c r="B247" s="40" t="s">
        <v>617</v>
      </c>
      <c r="C247" s="41" t="s">
        <v>218</v>
      </c>
      <c r="D247" s="42">
        <v>2</v>
      </c>
      <c r="E247" s="36">
        <v>495</v>
      </c>
      <c r="F247" s="36">
        <v>135</v>
      </c>
      <c r="G247" s="43">
        <f t="shared" si="16"/>
        <v>630</v>
      </c>
      <c r="H247" s="44">
        <f t="shared" si="17"/>
        <v>1260</v>
      </c>
    </row>
    <row r="248" spans="1:8" ht="13.5" customHeight="1" x14ac:dyDescent="0.35">
      <c r="A248" s="34" t="s">
        <v>618</v>
      </c>
      <c r="B248" s="19" t="s">
        <v>619</v>
      </c>
      <c r="C248" s="20" t="s">
        <v>218</v>
      </c>
      <c r="D248" s="35">
        <v>3</v>
      </c>
      <c r="E248" s="36">
        <v>295</v>
      </c>
      <c r="F248" s="36">
        <v>125</v>
      </c>
      <c r="G248" s="37">
        <f t="shared" si="16"/>
        <v>420</v>
      </c>
      <c r="H248" s="38">
        <f t="shared" si="17"/>
        <v>1260</v>
      </c>
    </row>
    <row r="249" spans="1:8" ht="13.5" customHeight="1" x14ac:dyDescent="0.35">
      <c r="A249" s="39" t="s">
        <v>620</v>
      </c>
      <c r="B249" s="40" t="s">
        <v>621</v>
      </c>
      <c r="C249" s="41" t="s">
        <v>218</v>
      </c>
      <c r="D249" s="42">
        <v>1</v>
      </c>
      <c r="E249" s="36">
        <v>270</v>
      </c>
      <c r="F249" s="36">
        <v>105</v>
      </c>
      <c r="G249" s="43">
        <f t="shared" si="16"/>
        <v>375</v>
      </c>
      <c r="H249" s="44">
        <f t="shared" si="17"/>
        <v>375</v>
      </c>
    </row>
    <row r="250" spans="1:8" ht="13.5" customHeight="1" x14ac:dyDescent="0.35">
      <c r="A250" s="34" t="s">
        <v>622</v>
      </c>
      <c r="B250" s="19" t="s">
        <v>623</v>
      </c>
      <c r="C250" s="20" t="s">
        <v>228</v>
      </c>
      <c r="D250" s="35">
        <v>11.385</v>
      </c>
      <c r="E250" s="36">
        <v>9.8000000000000007</v>
      </c>
      <c r="F250" s="36">
        <v>8.8000000000000007</v>
      </c>
      <c r="G250" s="37">
        <f t="shared" si="16"/>
        <v>18.600000000000001</v>
      </c>
      <c r="H250" s="38">
        <f t="shared" si="17"/>
        <v>211.76</v>
      </c>
    </row>
    <row r="251" spans="1:8" ht="13.5" customHeight="1" x14ac:dyDescent="0.35">
      <c r="A251" s="39" t="s">
        <v>624</v>
      </c>
      <c r="B251" s="40" t="s">
        <v>625</v>
      </c>
      <c r="C251" s="41" t="s">
        <v>228</v>
      </c>
      <c r="D251" s="42">
        <v>5.421856</v>
      </c>
      <c r="E251" s="36">
        <v>7.4</v>
      </c>
      <c r="F251" s="36">
        <v>7.8</v>
      </c>
      <c r="G251" s="43">
        <f t="shared" si="16"/>
        <v>15.2</v>
      </c>
      <c r="H251" s="44">
        <f t="shared" si="17"/>
        <v>82.41</v>
      </c>
    </row>
    <row r="252" spans="1:8" ht="13.5" customHeight="1" x14ac:dyDescent="0.35">
      <c r="A252" s="34" t="s">
        <v>626</v>
      </c>
      <c r="B252" s="19" t="s">
        <v>627</v>
      </c>
      <c r="C252" s="20" t="s">
        <v>228</v>
      </c>
      <c r="D252" s="35">
        <v>12.265000000000001</v>
      </c>
      <c r="E252" s="36">
        <v>5.6</v>
      </c>
      <c r="F252" s="36">
        <v>7</v>
      </c>
      <c r="G252" s="37">
        <f t="shared" si="16"/>
        <v>12.6</v>
      </c>
      <c r="H252" s="38">
        <f t="shared" si="17"/>
        <v>154.54</v>
      </c>
    </row>
    <row r="253" spans="1:8" ht="13.5" customHeight="1" x14ac:dyDescent="0.35">
      <c r="A253" s="39" t="s">
        <v>628</v>
      </c>
      <c r="B253" s="40" t="s">
        <v>629</v>
      </c>
      <c r="C253" s="41" t="s">
        <v>228</v>
      </c>
      <c r="D253" s="42">
        <v>2.64</v>
      </c>
      <c r="E253" s="36">
        <v>4.3</v>
      </c>
      <c r="F253" s="36">
        <v>6.4</v>
      </c>
      <c r="G253" s="43">
        <f t="shared" si="16"/>
        <v>10.7</v>
      </c>
      <c r="H253" s="44">
        <f t="shared" si="17"/>
        <v>28.25</v>
      </c>
    </row>
    <row r="254" spans="1:8" ht="13.5" customHeight="1" x14ac:dyDescent="0.35">
      <c r="A254" s="34" t="s">
        <v>630</v>
      </c>
      <c r="B254" s="19" t="s">
        <v>631</v>
      </c>
      <c r="C254" s="20" t="s">
        <v>228</v>
      </c>
      <c r="D254" s="35">
        <v>33</v>
      </c>
      <c r="E254" s="36">
        <v>4.3</v>
      </c>
      <c r="F254" s="36">
        <v>9.8000000000000007</v>
      </c>
      <c r="G254" s="37">
        <f t="shared" si="16"/>
        <v>14.100000000000001</v>
      </c>
      <c r="H254" s="38">
        <f t="shared" si="17"/>
        <v>465.3</v>
      </c>
    </row>
    <row r="255" spans="1:8" ht="21.75" customHeight="1" x14ac:dyDescent="0.35">
      <c r="A255" s="39" t="s">
        <v>632</v>
      </c>
      <c r="B255" s="40" t="s">
        <v>633</v>
      </c>
      <c r="C255" s="41" t="s">
        <v>228</v>
      </c>
      <c r="D255" s="42">
        <v>78</v>
      </c>
      <c r="E255" s="36">
        <v>43</v>
      </c>
      <c r="F255" s="36">
        <v>23</v>
      </c>
      <c r="G255" s="43">
        <f t="shared" si="16"/>
        <v>66</v>
      </c>
      <c r="H255" s="44">
        <f t="shared" si="17"/>
        <v>5148</v>
      </c>
    </row>
    <row r="256" spans="1:8" ht="13.5" customHeight="1" x14ac:dyDescent="0.35">
      <c r="A256" s="34" t="s">
        <v>634</v>
      </c>
      <c r="B256" s="19" t="s">
        <v>635</v>
      </c>
      <c r="C256" s="20" t="s">
        <v>228</v>
      </c>
      <c r="D256" s="35">
        <v>12</v>
      </c>
      <c r="E256" s="36">
        <v>12.8</v>
      </c>
      <c r="F256" s="36">
        <v>11.5</v>
      </c>
      <c r="G256" s="37">
        <f t="shared" si="16"/>
        <v>24.3</v>
      </c>
      <c r="H256" s="38">
        <f t="shared" si="17"/>
        <v>291.60000000000002</v>
      </c>
    </row>
    <row r="257" spans="1:8" ht="13.5" customHeight="1" x14ac:dyDescent="0.35">
      <c r="A257" s="39" t="s">
        <v>636</v>
      </c>
      <c r="B257" s="40" t="s">
        <v>637</v>
      </c>
      <c r="C257" s="41" t="s">
        <v>228</v>
      </c>
      <c r="D257" s="42">
        <v>22.893750000000001</v>
      </c>
      <c r="E257" s="36">
        <v>8.8000000000000007</v>
      </c>
      <c r="F257" s="36">
        <v>9.8000000000000007</v>
      </c>
      <c r="G257" s="43">
        <f t="shared" si="16"/>
        <v>18.600000000000001</v>
      </c>
      <c r="H257" s="44">
        <f t="shared" si="17"/>
        <v>425.82</v>
      </c>
    </row>
    <row r="258" spans="1:8" ht="13.5" customHeight="1" x14ac:dyDescent="0.35">
      <c r="A258" s="34" t="s">
        <v>638</v>
      </c>
      <c r="B258" s="19" t="s">
        <v>639</v>
      </c>
      <c r="C258" s="20" t="s">
        <v>228</v>
      </c>
      <c r="D258" s="35">
        <v>5.8063500000000001</v>
      </c>
      <c r="E258" s="36">
        <v>6</v>
      </c>
      <c r="F258" s="36">
        <v>8.1999999999999993</v>
      </c>
      <c r="G258" s="37">
        <f t="shared" si="16"/>
        <v>14.2</v>
      </c>
      <c r="H258" s="38">
        <f t="shared" si="17"/>
        <v>82.45</v>
      </c>
    </row>
    <row r="259" spans="1:8" ht="21.75" customHeight="1" x14ac:dyDescent="0.35">
      <c r="A259" s="39" t="s">
        <v>640</v>
      </c>
      <c r="B259" s="40" t="s">
        <v>641</v>
      </c>
      <c r="C259" s="41" t="s">
        <v>161</v>
      </c>
      <c r="D259" s="42">
        <v>1</v>
      </c>
      <c r="E259" s="36">
        <v>5800</v>
      </c>
      <c r="F259" s="36">
        <v>0</v>
      </c>
      <c r="G259" s="43">
        <f t="shared" si="16"/>
        <v>5800</v>
      </c>
      <c r="H259" s="44">
        <f t="shared" si="17"/>
        <v>5800</v>
      </c>
    </row>
    <row r="260" spans="1:8" ht="13.5" customHeight="1" x14ac:dyDescent="0.35">
      <c r="A260" s="34" t="s">
        <v>642</v>
      </c>
      <c r="B260" s="19" t="s">
        <v>643</v>
      </c>
      <c r="C260" s="20" t="s">
        <v>247</v>
      </c>
      <c r="D260" s="35">
        <v>2</v>
      </c>
      <c r="E260" s="36">
        <v>60</v>
      </c>
      <c r="F260" s="36">
        <v>29</v>
      </c>
      <c r="G260" s="37">
        <f t="shared" si="16"/>
        <v>89</v>
      </c>
      <c r="H260" s="38">
        <f t="shared" si="17"/>
        <v>178</v>
      </c>
    </row>
    <row r="261" spans="1:8" ht="13.5" customHeight="1" x14ac:dyDescent="0.35">
      <c r="A261" s="39" t="s">
        <v>644</v>
      </c>
      <c r="B261" s="40" t="s">
        <v>645</v>
      </c>
      <c r="C261" s="41" t="s">
        <v>247</v>
      </c>
      <c r="D261" s="42">
        <v>1</v>
      </c>
      <c r="E261" s="36">
        <v>48</v>
      </c>
      <c r="F261" s="36">
        <v>26</v>
      </c>
      <c r="G261" s="43">
        <f t="shared" si="16"/>
        <v>74</v>
      </c>
      <c r="H261" s="44">
        <f t="shared" si="17"/>
        <v>74</v>
      </c>
    </row>
    <row r="262" spans="1:8" ht="13.5" customHeight="1" x14ac:dyDescent="0.35">
      <c r="A262" s="34" t="s">
        <v>646</v>
      </c>
      <c r="B262" s="19" t="s">
        <v>647</v>
      </c>
      <c r="C262" s="20" t="s">
        <v>247</v>
      </c>
      <c r="D262" s="35">
        <v>1</v>
      </c>
      <c r="E262" s="36">
        <v>330</v>
      </c>
      <c r="F262" s="36">
        <v>98</v>
      </c>
      <c r="G262" s="37">
        <f t="shared" si="16"/>
        <v>428</v>
      </c>
      <c r="H262" s="38">
        <f t="shared" si="17"/>
        <v>428</v>
      </c>
    </row>
    <row r="263" spans="1:8" ht="13.5" customHeight="1" x14ac:dyDescent="0.35">
      <c r="A263" s="39" t="s">
        <v>648</v>
      </c>
      <c r="B263" s="40" t="s">
        <v>649</v>
      </c>
      <c r="C263" s="41" t="s">
        <v>247</v>
      </c>
      <c r="D263" s="42">
        <v>1</v>
      </c>
      <c r="E263" s="36">
        <v>148</v>
      </c>
      <c r="F263" s="36">
        <v>57</v>
      </c>
      <c r="G263" s="43">
        <f t="shared" si="16"/>
        <v>205</v>
      </c>
      <c r="H263" s="44">
        <f t="shared" si="17"/>
        <v>205</v>
      </c>
    </row>
    <row r="264" spans="1:8" ht="13.5" customHeight="1" x14ac:dyDescent="0.35">
      <c r="A264" s="34" t="s">
        <v>650</v>
      </c>
      <c r="B264" s="19" t="s">
        <v>651</v>
      </c>
      <c r="C264" s="20" t="s">
        <v>247</v>
      </c>
      <c r="D264" s="35">
        <v>1</v>
      </c>
      <c r="E264" s="36">
        <v>350</v>
      </c>
      <c r="F264" s="36">
        <v>98</v>
      </c>
      <c r="G264" s="37">
        <f t="shared" si="16"/>
        <v>448</v>
      </c>
      <c r="H264" s="38">
        <f t="shared" si="17"/>
        <v>448</v>
      </c>
    </row>
    <row r="265" spans="1:8" ht="13.5" customHeight="1" x14ac:dyDescent="0.35">
      <c r="A265" s="39" t="s">
        <v>652</v>
      </c>
      <c r="B265" s="40" t="s">
        <v>653</v>
      </c>
      <c r="C265" s="41" t="s">
        <v>247</v>
      </c>
      <c r="D265" s="42">
        <v>1</v>
      </c>
      <c r="E265" s="36">
        <v>155</v>
      </c>
      <c r="F265" s="36">
        <v>57</v>
      </c>
      <c r="G265" s="43">
        <f t="shared" si="16"/>
        <v>212</v>
      </c>
      <c r="H265" s="44">
        <f t="shared" si="17"/>
        <v>212</v>
      </c>
    </row>
    <row r="266" spans="1:8" ht="13.5" customHeight="1" x14ac:dyDescent="0.35">
      <c r="A266" s="34" t="s">
        <v>654</v>
      </c>
      <c r="B266" s="19" t="s">
        <v>655</v>
      </c>
      <c r="C266" s="20" t="s">
        <v>247</v>
      </c>
      <c r="D266" s="35">
        <v>1</v>
      </c>
      <c r="E266" s="36">
        <v>185</v>
      </c>
      <c r="F266" s="36">
        <v>62</v>
      </c>
      <c r="G266" s="37">
        <f t="shared" si="16"/>
        <v>247</v>
      </c>
      <c r="H266" s="38">
        <f t="shared" si="17"/>
        <v>247</v>
      </c>
    </row>
    <row r="267" spans="1:8" ht="13.5" customHeight="1" x14ac:dyDescent="0.35">
      <c r="A267" s="39" t="s">
        <v>656</v>
      </c>
      <c r="B267" s="40" t="s">
        <v>657</v>
      </c>
      <c r="C267" s="41" t="s">
        <v>247</v>
      </c>
      <c r="D267" s="42">
        <v>1</v>
      </c>
      <c r="E267" s="36">
        <v>98</v>
      </c>
      <c r="F267" s="36">
        <v>42</v>
      </c>
      <c r="G267" s="43">
        <f t="shared" si="16"/>
        <v>140</v>
      </c>
      <c r="H267" s="44">
        <f t="shared" si="17"/>
        <v>140</v>
      </c>
    </row>
    <row r="268" spans="1:8" ht="13.5" customHeight="1" x14ac:dyDescent="0.35">
      <c r="A268" s="34" t="s">
        <v>658</v>
      </c>
      <c r="B268" s="19" t="s">
        <v>659</v>
      </c>
      <c r="C268" s="20" t="s">
        <v>247</v>
      </c>
      <c r="D268" s="35">
        <v>1</v>
      </c>
      <c r="E268" s="36">
        <v>49</v>
      </c>
      <c r="F268" s="36">
        <v>23</v>
      </c>
      <c r="G268" s="37">
        <f t="shared" si="16"/>
        <v>72</v>
      </c>
      <c r="H268" s="38">
        <f t="shared" si="17"/>
        <v>72</v>
      </c>
    </row>
    <row r="269" spans="1:8" ht="13.5" customHeight="1" x14ac:dyDescent="0.35">
      <c r="A269" s="39" t="s">
        <v>660</v>
      </c>
      <c r="B269" s="40" t="s">
        <v>661</v>
      </c>
      <c r="C269" s="41" t="s">
        <v>247</v>
      </c>
      <c r="D269" s="42">
        <v>1</v>
      </c>
      <c r="E269" s="36">
        <v>88</v>
      </c>
      <c r="F269" s="36">
        <v>36</v>
      </c>
      <c r="G269" s="43">
        <f t="shared" si="16"/>
        <v>124</v>
      </c>
      <c r="H269" s="44">
        <f t="shared" si="17"/>
        <v>124</v>
      </c>
    </row>
    <row r="270" spans="1:8" ht="13.5" customHeight="1" x14ac:dyDescent="0.35">
      <c r="A270" s="34" t="s">
        <v>662</v>
      </c>
      <c r="B270" s="19" t="s">
        <v>663</v>
      </c>
      <c r="C270" s="20" t="s">
        <v>247</v>
      </c>
      <c r="D270" s="35">
        <v>4</v>
      </c>
      <c r="E270" s="36">
        <v>64</v>
      </c>
      <c r="F270" s="36">
        <v>39</v>
      </c>
      <c r="G270" s="37">
        <f t="shared" si="16"/>
        <v>103</v>
      </c>
      <c r="H270" s="38">
        <f t="shared" si="17"/>
        <v>412</v>
      </c>
    </row>
    <row r="271" spans="1:8" ht="13.5" customHeight="1" x14ac:dyDescent="0.35">
      <c r="A271" s="39" t="s">
        <v>664</v>
      </c>
      <c r="B271" s="40" t="s">
        <v>665</v>
      </c>
      <c r="C271" s="41" t="s">
        <v>247</v>
      </c>
      <c r="D271" s="42">
        <v>1</v>
      </c>
      <c r="E271" s="36">
        <v>57</v>
      </c>
      <c r="F271" s="36">
        <v>36</v>
      </c>
      <c r="G271" s="43">
        <f t="shared" si="16"/>
        <v>93</v>
      </c>
      <c r="H271" s="44">
        <f t="shared" si="17"/>
        <v>93</v>
      </c>
    </row>
    <row r="272" spans="1:8" ht="21.75" customHeight="1" x14ac:dyDescent="0.35">
      <c r="A272" s="34" t="s">
        <v>666</v>
      </c>
      <c r="B272" s="19" t="s">
        <v>336</v>
      </c>
      <c r="C272" s="20" t="s">
        <v>334</v>
      </c>
      <c r="D272" s="35">
        <v>61.082999999999998</v>
      </c>
      <c r="E272" s="36">
        <v>2.7</v>
      </c>
      <c r="F272" s="36">
        <v>2.25</v>
      </c>
      <c r="G272" s="37">
        <f t="shared" si="16"/>
        <v>4.95</v>
      </c>
      <c r="H272" s="38">
        <f t="shared" si="17"/>
        <v>302.36</v>
      </c>
    </row>
    <row r="273" spans="1:8" ht="13.5" customHeight="1" x14ac:dyDescent="0.35">
      <c r="A273" s="39" t="s">
        <v>667</v>
      </c>
      <c r="B273" s="40" t="s">
        <v>668</v>
      </c>
      <c r="C273" s="41" t="s">
        <v>228</v>
      </c>
      <c r="D273" s="42">
        <v>33</v>
      </c>
      <c r="E273" s="36">
        <v>8.5</v>
      </c>
      <c r="F273" s="36">
        <v>23</v>
      </c>
      <c r="G273" s="43">
        <f t="shared" si="16"/>
        <v>31.5</v>
      </c>
      <c r="H273" s="44">
        <f t="shared" si="17"/>
        <v>1039.5</v>
      </c>
    </row>
    <row r="274" spans="1:8" ht="13.5" customHeight="1" x14ac:dyDescent="0.35">
      <c r="A274" s="34" t="s">
        <v>669</v>
      </c>
      <c r="B274" s="19" t="s">
        <v>670</v>
      </c>
      <c r="C274" s="20" t="s">
        <v>228</v>
      </c>
      <c r="D274" s="35">
        <v>88</v>
      </c>
      <c r="E274" s="36">
        <v>6.5</v>
      </c>
      <c r="F274" s="36">
        <v>27</v>
      </c>
      <c r="G274" s="37">
        <f t="shared" si="16"/>
        <v>33.5</v>
      </c>
      <c r="H274" s="38">
        <f t="shared" si="17"/>
        <v>2948</v>
      </c>
    </row>
    <row r="275" spans="1:8" ht="21.75" customHeight="1" x14ac:dyDescent="0.35">
      <c r="A275" s="39" t="s">
        <v>671</v>
      </c>
      <c r="B275" s="40" t="s">
        <v>672</v>
      </c>
      <c r="C275" s="41" t="s">
        <v>218</v>
      </c>
      <c r="D275" s="42">
        <v>1</v>
      </c>
      <c r="E275" s="36">
        <v>12800</v>
      </c>
      <c r="F275" s="36">
        <v>2500</v>
      </c>
      <c r="G275" s="43">
        <f t="shared" si="16"/>
        <v>15300</v>
      </c>
      <c r="H275" s="44">
        <f t="shared" si="17"/>
        <v>15300</v>
      </c>
    </row>
    <row r="276" spans="1:8" ht="21.75" customHeight="1" x14ac:dyDescent="0.35">
      <c r="A276" s="34" t="s">
        <v>673</v>
      </c>
      <c r="B276" s="19" t="s">
        <v>674</v>
      </c>
      <c r="C276" s="20" t="s">
        <v>218</v>
      </c>
      <c r="D276" s="35">
        <v>1</v>
      </c>
      <c r="E276" s="36">
        <v>1680</v>
      </c>
      <c r="F276" s="36">
        <v>495</v>
      </c>
      <c r="G276" s="37">
        <f t="shared" si="16"/>
        <v>2175</v>
      </c>
      <c r="H276" s="38">
        <f t="shared" si="17"/>
        <v>2175</v>
      </c>
    </row>
    <row r="277" spans="1:8" ht="21.75" customHeight="1" x14ac:dyDescent="0.35">
      <c r="A277" s="39" t="s">
        <v>675</v>
      </c>
      <c r="B277" s="40" t="s">
        <v>676</v>
      </c>
      <c r="C277" s="41" t="s">
        <v>161</v>
      </c>
      <c r="D277" s="42">
        <v>1</v>
      </c>
      <c r="E277" s="36">
        <v>0</v>
      </c>
      <c r="F277" s="36">
        <v>3800</v>
      </c>
      <c r="G277" s="43">
        <f t="shared" si="16"/>
        <v>3800</v>
      </c>
      <c r="H277" s="44">
        <f t="shared" si="17"/>
        <v>3800</v>
      </c>
    </row>
    <row r="278" spans="1:8" ht="21.75" customHeight="1" x14ac:dyDescent="0.35">
      <c r="A278" s="34" t="s">
        <v>677</v>
      </c>
      <c r="B278" s="19" t="s">
        <v>678</v>
      </c>
      <c r="C278" s="20" t="s">
        <v>161</v>
      </c>
      <c r="D278" s="35">
        <v>1</v>
      </c>
      <c r="E278" s="36">
        <v>4200</v>
      </c>
      <c r="F278" s="36">
        <v>0</v>
      </c>
      <c r="G278" s="37">
        <f t="shared" si="16"/>
        <v>4200</v>
      </c>
      <c r="H278" s="38">
        <f t="shared" si="17"/>
        <v>4200</v>
      </c>
    </row>
    <row r="279" spans="1:8" ht="21.75" customHeight="1" x14ac:dyDescent="0.35">
      <c r="A279" s="39" t="s">
        <v>679</v>
      </c>
      <c r="B279" s="40" t="s">
        <v>680</v>
      </c>
      <c r="C279" s="41" t="s">
        <v>161</v>
      </c>
      <c r="D279" s="42">
        <v>1</v>
      </c>
      <c r="E279" s="36">
        <v>0</v>
      </c>
      <c r="F279" s="36">
        <v>4800</v>
      </c>
      <c r="G279" s="43">
        <f t="shared" si="16"/>
        <v>4800</v>
      </c>
      <c r="H279" s="44">
        <f t="shared" si="17"/>
        <v>4800</v>
      </c>
    </row>
    <row r="280" spans="1:8" ht="21.75" customHeight="1" x14ac:dyDescent="0.35">
      <c r="A280" s="34" t="s">
        <v>681</v>
      </c>
      <c r="B280" s="19" t="s">
        <v>682</v>
      </c>
      <c r="C280" s="20" t="s">
        <v>161</v>
      </c>
      <c r="D280" s="35">
        <v>1</v>
      </c>
      <c r="E280" s="36">
        <v>0</v>
      </c>
      <c r="F280" s="36">
        <v>6800</v>
      </c>
      <c r="G280" s="37">
        <f t="shared" si="16"/>
        <v>6800</v>
      </c>
      <c r="H280" s="38">
        <f t="shared" si="17"/>
        <v>6800</v>
      </c>
    </row>
    <row r="281" spans="1:8" ht="19.5" customHeight="1" x14ac:dyDescent="0.35">
      <c r="A281" s="24" t="s">
        <v>683</v>
      </c>
      <c r="B281" s="117" t="s">
        <v>684</v>
      </c>
      <c r="C281" s="117"/>
      <c r="D281" s="117"/>
      <c r="E281" s="117"/>
      <c r="F281" s="117"/>
      <c r="G281" s="117"/>
      <c r="H281" s="45">
        <f>SUM(H246:H280)</f>
        <v>62252.990000000005</v>
      </c>
    </row>
    <row r="283" spans="1:8" ht="19.5" customHeight="1" x14ac:dyDescent="0.35">
      <c r="A283" s="116" t="s">
        <v>685</v>
      </c>
      <c r="B283" s="116"/>
      <c r="C283" s="116"/>
      <c r="D283" s="116"/>
      <c r="E283" s="116"/>
      <c r="F283" s="116"/>
      <c r="G283" s="116"/>
      <c r="H283" s="116"/>
    </row>
    <row r="284" spans="1:8" ht="21.75" customHeight="1" x14ac:dyDescent="0.35">
      <c r="A284" s="34" t="s">
        <v>686</v>
      </c>
      <c r="B284" s="19" t="s">
        <v>687</v>
      </c>
      <c r="C284" s="20" t="s">
        <v>228</v>
      </c>
      <c r="D284" s="35">
        <v>200</v>
      </c>
      <c r="E284" s="36">
        <v>35</v>
      </c>
      <c r="F284" s="36">
        <v>27</v>
      </c>
      <c r="G284" s="37">
        <f t="shared" ref="G284:G315" si="18">E284+F284</f>
        <v>62</v>
      </c>
      <c r="H284" s="38">
        <f t="shared" ref="H284:H315" si="19">ROUND(D284*G284,2)</f>
        <v>12400</v>
      </c>
    </row>
    <row r="285" spans="1:8" ht="21.75" customHeight="1" x14ac:dyDescent="0.35">
      <c r="A285" s="39" t="s">
        <v>688</v>
      </c>
      <c r="B285" s="40" t="s">
        <v>689</v>
      </c>
      <c r="C285" s="41" t="s">
        <v>228</v>
      </c>
      <c r="D285" s="42">
        <v>41.491999999999997</v>
      </c>
      <c r="E285" s="36">
        <v>23</v>
      </c>
      <c r="F285" s="36">
        <v>21</v>
      </c>
      <c r="G285" s="43">
        <f t="shared" si="18"/>
        <v>44</v>
      </c>
      <c r="H285" s="44">
        <f t="shared" si="19"/>
        <v>1825.65</v>
      </c>
    </row>
    <row r="286" spans="1:8" ht="21.75" customHeight="1" x14ac:dyDescent="0.35">
      <c r="A286" s="34" t="s">
        <v>690</v>
      </c>
      <c r="B286" s="19" t="s">
        <v>691</v>
      </c>
      <c r="C286" s="20" t="s">
        <v>161</v>
      </c>
      <c r="D286" s="35">
        <v>1</v>
      </c>
      <c r="E286" s="36">
        <v>9500</v>
      </c>
      <c r="F286" s="36">
        <v>0</v>
      </c>
      <c r="G286" s="37">
        <f t="shared" si="18"/>
        <v>9500</v>
      </c>
      <c r="H286" s="38">
        <f t="shared" si="19"/>
        <v>9500</v>
      </c>
    </row>
    <row r="287" spans="1:8" ht="21.75" customHeight="1" x14ac:dyDescent="0.35">
      <c r="A287" s="39" t="s">
        <v>692</v>
      </c>
      <c r="B287" s="40" t="s">
        <v>693</v>
      </c>
      <c r="C287" s="41" t="s">
        <v>218</v>
      </c>
      <c r="D287" s="42">
        <v>5</v>
      </c>
      <c r="E287" s="36">
        <v>640</v>
      </c>
      <c r="F287" s="36">
        <v>230</v>
      </c>
      <c r="G287" s="43">
        <f t="shared" si="18"/>
        <v>870</v>
      </c>
      <c r="H287" s="44">
        <f t="shared" si="19"/>
        <v>4350</v>
      </c>
    </row>
    <row r="288" spans="1:8" ht="13.5" customHeight="1" x14ac:dyDescent="0.35">
      <c r="A288" s="34" t="s">
        <v>694</v>
      </c>
      <c r="B288" s="19" t="s">
        <v>695</v>
      </c>
      <c r="C288" s="20" t="s">
        <v>247</v>
      </c>
      <c r="D288" s="35">
        <v>8</v>
      </c>
      <c r="E288" s="36">
        <v>215</v>
      </c>
      <c r="F288" s="36">
        <v>68</v>
      </c>
      <c r="G288" s="37">
        <f t="shared" si="18"/>
        <v>283</v>
      </c>
      <c r="H288" s="38">
        <f t="shared" si="19"/>
        <v>2264</v>
      </c>
    </row>
    <row r="289" spans="1:8" ht="13.5" customHeight="1" x14ac:dyDescent="0.35">
      <c r="A289" s="39" t="s">
        <v>696</v>
      </c>
      <c r="B289" s="40" t="s">
        <v>697</v>
      </c>
      <c r="C289" s="41" t="s">
        <v>247</v>
      </c>
      <c r="D289" s="42">
        <v>4</v>
      </c>
      <c r="E289" s="36">
        <v>295</v>
      </c>
      <c r="F289" s="36">
        <v>98</v>
      </c>
      <c r="G289" s="43">
        <f t="shared" si="18"/>
        <v>393</v>
      </c>
      <c r="H289" s="44">
        <f t="shared" si="19"/>
        <v>1572</v>
      </c>
    </row>
    <row r="290" spans="1:8" ht="13.5" customHeight="1" x14ac:dyDescent="0.35">
      <c r="A290" s="34" t="s">
        <v>698</v>
      </c>
      <c r="B290" s="19" t="s">
        <v>699</v>
      </c>
      <c r="C290" s="20" t="s">
        <v>247</v>
      </c>
      <c r="D290" s="35">
        <v>3</v>
      </c>
      <c r="E290" s="36">
        <v>190</v>
      </c>
      <c r="F290" s="36">
        <v>73</v>
      </c>
      <c r="G290" s="37">
        <f t="shared" si="18"/>
        <v>263</v>
      </c>
      <c r="H290" s="38">
        <f t="shared" si="19"/>
        <v>789</v>
      </c>
    </row>
    <row r="291" spans="1:8" ht="13.5" customHeight="1" x14ac:dyDescent="0.35">
      <c r="A291" s="39" t="s">
        <v>700</v>
      </c>
      <c r="B291" s="40" t="s">
        <v>701</v>
      </c>
      <c r="C291" s="41" t="s">
        <v>161</v>
      </c>
      <c r="D291" s="42">
        <v>1</v>
      </c>
      <c r="E291" s="36">
        <v>0</v>
      </c>
      <c r="F291" s="36">
        <v>3200</v>
      </c>
      <c r="G291" s="43">
        <f t="shared" si="18"/>
        <v>3200</v>
      </c>
      <c r="H291" s="44">
        <f t="shared" si="19"/>
        <v>3200</v>
      </c>
    </row>
    <row r="292" spans="1:8" ht="21.75" customHeight="1" x14ac:dyDescent="0.35">
      <c r="A292" s="34" t="s">
        <v>702</v>
      </c>
      <c r="B292" s="19" t="s">
        <v>703</v>
      </c>
      <c r="C292" s="20" t="s">
        <v>334</v>
      </c>
      <c r="D292" s="35">
        <v>156.33525</v>
      </c>
      <c r="E292" s="36">
        <v>2.7</v>
      </c>
      <c r="F292" s="36">
        <v>2.35</v>
      </c>
      <c r="G292" s="37">
        <f t="shared" si="18"/>
        <v>5.0500000000000007</v>
      </c>
      <c r="H292" s="38">
        <f t="shared" si="19"/>
        <v>789.49</v>
      </c>
    </row>
    <row r="293" spans="1:8" ht="13.5" customHeight="1" x14ac:dyDescent="0.35">
      <c r="A293" s="39" t="s">
        <v>704</v>
      </c>
      <c r="B293" s="40" t="s">
        <v>419</v>
      </c>
      <c r="C293" s="41" t="s">
        <v>161</v>
      </c>
      <c r="D293" s="42">
        <v>1</v>
      </c>
      <c r="E293" s="36">
        <v>0</v>
      </c>
      <c r="F293" s="36">
        <v>2800</v>
      </c>
      <c r="G293" s="43">
        <f t="shared" si="18"/>
        <v>2800</v>
      </c>
      <c r="H293" s="44">
        <f t="shared" si="19"/>
        <v>2800</v>
      </c>
    </row>
    <row r="294" spans="1:8" ht="21.75" customHeight="1" x14ac:dyDescent="0.35">
      <c r="A294" s="34" t="s">
        <v>705</v>
      </c>
      <c r="B294" s="19" t="s">
        <v>706</v>
      </c>
      <c r="C294" s="20" t="s">
        <v>161</v>
      </c>
      <c r="D294" s="35">
        <v>1</v>
      </c>
      <c r="E294" s="36">
        <v>0</v>
      </c>
      <c r="F294" s="36">
        <v>4500</v>
      </c>
      <c r="G294" s="37">
        <f t="shared" si="18"/>
        <v>4500</v>
      </c>
      <c r="H294" s="38">
        <f t="shared" si="19"/>
        <v>4500</v>
      </c>
    </row>
    <row r="295" spans="1:8" ht="21.75" customHeight="1" x14ac:dyDescent="0.35">
      <c r="A295" s="39" t="s">
        <v>707</v>
      </c>
      <c r="B295" s="40" t="s">
        <v>708</v>
      </c>
      <c r="C295" s="41" t="s">
        <v>228</v>
      </c>
      <c r="D295" s="42">
        <v>200</v>
      </c>
      <c r="E295" s="36">
        <v>54</v>
      </c>
      <c r="F295" s="36">
        <v>35</v>
      </c>
      <c r="G295" s="43">
        <f t="shared" si="18"/>
        <v>89</v>
      </c>
      <c r="H295" s="44">
        <f t="shared" si="19"/>
        <v>17800</v>
      </c>
    </row>
    <row r="296" spans="1:8" ht="21.75" customHeight="1" x14ac:dyDescent="0.35">
      <c r="A296" s="34" t="s">
        <v>709</v>
      </c>
      <c r="B296" s="19" t="s">
        <v>687</v>
      </c>
      <c r="C296" s="20" t="s">
        <v>228</v>
      </c>
      <c r="D296" s="35">
        <v>16.5</v>
      </c>
      <c r="E296" s="36">
        <v>35</v>
      </c>
      <c r="F296" s="36">
        <v>27</v>
      </c>
      <c r="G296" s="37">
        <f t="shared" si="18"/>
        <v>62</v>
      </c>
      <c r="H296" s="38">
        <f t="shared" si="19"/>
        <v>1023</v>
      </c>
    </row>
    <row r="297" spans="1:8" ht="21.75" customHeight="1" x14ac:dyDescent="0.35">
      <c r="A297" s="39" t="s">
        <v>710</v>
      </c>
      <c r="B297" s="40" t="s">
        <v>711</v>
      </c>
      <c r="C297" s="41" t="s">
        <v>228</v>
      </c>
      <c r="D297" s="42">
        <v>11</v>
      </c>
      <c r="E297" s="36">
        <v>29</v>
      </c>
      <c r="F297" s="36">
        <v>24</v>
      </c>
      <c r="G297" s="43">
        <f t="shared" si="18"/>
        <v>53</v>
      </c>
      <c r="H297" s="44">
        <f t="shared" si="19"/>
        <v>583</v>
      </c>
    </row>
    <row r="298" spans="1:8" ht="21.75" customHeight="1" x14ac:dyDescent="0.35">
      <c r="A298" s="34" t="s">
        <v>712</v>
      </c>
      <c r="B298" s="19" t="s">
        <v>689</v>
      </c>
      <c r="C298" s="20" t="s">
        <v>228</v>
      </c>
      <c r="D298" s="35">
        <v>2.64</v>
      </c>
      <c r="E298" s="36">
        <v>23</v>
      </c>
      <c r="F298" s="36">
        <v>21</v>
      </c>
      <c r="G298" s="37">
        <f t="shared" si="18"/>
        <v>44</v>
      </c>
      <c r="H298" s="38">
        <f t="shared" si="19"/>
        <v>116.16</v>
      </c>
    </row>
    <row r="299" spans="1:8" ht="21.75" customHeight="1" x14ac:dyDescent="0.35">
      <c r="A299" s="39" t="s">
        <v>713</v>
      </c>
      <c r="B299" s="40" t="s">
        <v>714</v>
      </c>
      <c r="C299" s="41" t="s">
        <v>228</v>
      </c>
      <c r="D299" s="42">
        <v>23.594999999999999</v>
      </c>
      <c r="E299" s="36">
        <v>17.5</v>
      </c>
      <c r="F299" s="36">
        <v>17.5</v>
      </c>
      <c r="G299" s="43">
        <f t="shared" si="18"/>
        <v>35</v>
      </c>
      <c r="H299" s="44">
        <f t="shared" si="19"/>
        <v>825.83</v>
      </c>
    </row>
    <row r="300" spans="1:8" ht="21.75" customHeight="1" x14ac:dyDescent="0.35">
      <c r="A300" s="34" t="s">
        <v>715</v>
      </c>
      <c r="B300" s="19" t="s">
        <v>716</v>
      </c>
      <c r="C300" s="20" t="s">
        <v>228</v>
      </c>
      <c r="D300" s="35">
        <v>64.602999999999994</v>
      </c>
      <c r="E300" s="36">
        <v>14</v>
      </c>
      <c r="F300" s="36">
        <v>15.5</v>
      </c>
      <c r="G300" s="37">
        <f t="shared" si="18"/>
        <v>29.5</v>
      </c>
      <c r="H300" s="38">
        <f t="shared" si="19"/>
        <v>1905.79</v>
      </c>
    </row>
    <row r="301" spans="1:8" ht="21.75" customHeight="1" x14ac:dyDescent="0.35">
      <c r="A301" s="39" t="s">
        <v>717</v>
      </c>
      <c r="B301" s="40" t="s">
        <v>718</v>
      </c>
      <c r="C301" s="41" t="s">
        <v>228</v>
      </c>
      <c r="D301" s="42">
        <v>172.33699999999999</v>
      </c>
      <c r="E301" s="36">
        <v>11.5</v>
      </c>
      <c r="F301" s="36">
        <v>14</v>
      </c>
      <c r="G301" s="43">
        <f t="shared" si="18"/>
        <v>25.5</v>
      </c>
      <c r="H301" s="44">
        <f t="shared" si="19"/>
        <v>4394.59</v>
      </c>
    </row>
    <row r="302" spans="1:8" ht="21.75" customHeight="1" x14ac:dyDescent="0.35">
      <c r="A302" s="34" t="s">
        <v>719</v>
      </c>
      <c r="B302" s="19" t="s">
        <v>720</v>
      </c>
      <c r="C302" s="20" t="s">
        <v>228</v>
      </c>
      <c r="D302" s="35">
        <v>142.626</v>
      </c>
      <c r="E302" s="36">
        <v>8.8000000000000007</v>
      </c>
      <c r="F302" s="36">
        <v>12.5</v>
      </c>
      <c r="G302" s="37">
        <f t="shared" si="18"/>
        <v>21.3</v>
      </c>
      <c r="H302" s="38">
        <f t="shared" si="19"/>
        <v>3037.93</v>
      </c>
    </row>
    <row r="303" spans="1:8" ht="21.75" customHeight="1" x14ac:dyDescent="0.35">
      <c r="A303" s="39" t="s">
        <v>721</v>
      </c>
      <c r="B303" s="40" t="s">
        <v>722</v>
      </c>
      <c r="C303" s="41" t="s">
        <v>161</v>
      </c>
      <c r="D303" s="42">
        <v>1</v>
      </c>
      <c r="E303" s="36">
        <v>12500</v>
      </c>
      <c r="F303" s="36">
        <v>0</v>
      </c>
      <c r="G303" s="43">
        <f t="shared" si="18"/>
        <v>12500</v>
      </c>
      <c r="H303" s="44">
        <f t="shared" si="19"/>
        <v>12500</v>
      </c>
    </row>
    <row r="304" spans="1:8" ht="13.5" customHeight="1" x14ac:dyDescent="0.35">
      <c r="A304" s="34" t="s">
        <v>723</v>
      </c>
      <c r="B304" s="19" t="s">
        <v>724</v>
      </c>
      <c r="C304" s="20" t="s">
        <v>247</v>
      </c>
      <c r="D304" s="35">
        <v>118</v>
      </c>
      <c r="E304" s="36">
        <v>23</v>
      </c>
      <c r="F304" s="36">
        <v>27</v>
      </c>
      <c r="G304" s="37">
        <f t="shared" si="18"/>
        <v>50</v>
      </c>
      <c r="H304" s="38">
        <f t="shared" si="19"/>
        <v>5900</v>
      </c>
    </row>
    <row r="305" spans="1:8" ht="13.5" customHeight="1" x14ac:dyDescent="0.35">
      <c r="A305" s="39" t="s">
        <v>725</v>
      </c>
      <c r="B305" s="40" t="s">
        <v>726</v>
      </c>
      <c r="C305" s="41" t="s">
        <v>247</v>
      </c>
      <c r="D305" s="42">
        <v>1</v>
      </c>
      <c r="E305" s="36">
        <v>990</v>
      </c>
      <c r="F305" s="36">
        <v>230</v>
      </c>
      <c r="G305" s="43">
        <f t="shared" si="18"/>
        <v>1220</v>
      </c>
      <c r="H305" s="44">
        <f t="shared" si="19"/>
        <v>1220</v>
      </c>
    </row>
    <row r="306" spans="1:8" ht="13.5" customHeight="1" x14ac:dyDescent="0.35">
      <c r="A306" s="34" t="s">
        <v>727</v>
      </c>
      <c r="B306" s="19" t="s">
        <v>728</v>
      </c>
      <c r="C306" s="20" t="s">
        <v>247</v>
      </c>
      <c r="D306" s="35">
        <v>1</v>
      </c>
      <c r="E306" s="36">
        <v>430</v>
      </c>
      <c r="F306" s="36">
        <v>125</v>
      </c>
      <c r="G306" s="37">
        <f t="shared" si="18"/>
        <v>555</v>
      </c>
      <c r="H306" s="38">
        <f t="shared" si="19"/>
        <v>555</v>
      </c>
    </row>
    <row r="307" spans="1:8" ht="13.5" customHeight="1" x14ac:dyDescent="0.35">
      <c r="A307" s="39" t="s">
        <v>729</v>
      </c>
      <c r="B307" s="40" t="s">
        <v>730</v>
      </c>
      <c r="C307" s="41" t="s">
        <v>247</v>
      </c>
      <c r="D307" s="42">
        <v>1</v>
      </c>
      <c r="E307" s="36">
        <v>98</v>
      </c>
      <c r="F307" s="36">
        <v>42</v>
      </c>
      <c r="G307" s="43">
        <f t="shared" si="18"/>
        <v>140</v>
      </c>
      <c r="H307" s="44">
        <f t="shared" si="19"/>
        <v>140</v>
      </c>
    </row>
    <row r="308" spans="1:8" ht="13.5" customHeight="1" x14ac:dyDescent="0.35">
      <c r="A308" s="34" t="s">
        <v>731</v>
      </c>
      <c r="B308" s="19" t="s">
        <v>732</v>
      </c>
      <c r="C308" s="20" t="s">
        <v>247</v>
      </c>
      <c r="D308" s="35">
        <v>1</v>
      </c>
      <c r="E308" s="36">
        <v>88</v>
      </c>
      <c r="F308" s="36">
        <v>40</v>
      </c>
      <c r="G308" s="37">
        <f t="shared" si="18"/>
        <v>128</v>
      </c>
      <c r="H308" s="38">
        <f t="shared" si="19"/>
        <v>128</v>
      </c>
    </row>
    <row r="309" spans="1:8" ht="13.5" customHeight="1" x14ac:dyDescent="0.35">
      <c r="A309" s="39" t="s">
        <v>733</v>
      </c>
      <c r="B309" s="40" t="s">
        <v>734</v>
      </c>
      <c r="C309" s="41" t="s">
        <v>161</v>
      </c>
      <c r="D309" s="42">
        <v>1</v>
      </c>
      <c r="E309" s="36">
        <v>0</v>
      </c>
      <c r="F309" s="36">
        <v>3400</v>
      </c>
      <c r="G309" s="43">
        <f t="shared" si="18"/>
        <v>3400</v>
      </c>
      <c r="H309" s="44">
        <f t="shared" si="19"/>
        <v>3400</v>
      </c>
    </row>
    <row r="310" spans="1:8" ht="21.75" customHeight="1" x14ac:dyDescent="0.35">
      <c r="A310" s="34" t="s">
        <v>735</v>
      </c>
      <c r="B310" s="19" t="s">
        <v>736</v>
      </c>
      <c r="C310" s="20" t="s">
        <v>334</v>
      </c>
      <c r="D310" s="35">
        <v>568.83154999999999</v>
      </c>
      <c r="E310" s="36">
        <v>2.7</v>
      </c>
      <c r="F310" s="36">
        <v>2.35</v>
      </c>
      <c r="G310" s="37">
        <f t="shared" si="18"/>
        <v>5.0500000000000007</v>
      </c>
      <c r="H310" s="38">
        <f t="shared" si="19"/>
        <v>2872.6</v>
      </c>
    </row>
    <row r="311" spans="1:8" ht="13.5" customHeight="1" x14ac:dyDescent="0.35">
      <c r="A311" s="39" t="s">
        <v>737</v>
      </c>
      <c r="B311" s="40" t="s">
        <v>419</v>
      </c>
      <c r="C311" s="41" t="s">
        <v>161</v>
      </c>
      <c r="D311" s="42">
        <v>1</v>
      </c>
      <c r="E311" s="36">
        <v>0</v>
      </c>
      <c r="F311" s="36">
        <v>3600</v>
      </c>
      <c r="G311" s="43">
        <f t="shared" si="18"/>
        <v>3600</v>
      </c>
      <c r="H311" s="44">
        <f t="shared" si="19"/>
        <v>3600</v>
      </c>
    </row>
    <row r="312" spans="1:8" ht="21.75" customHeight="1" x14ac:dyDescent="0.35">
      <c r="A312" s="34" t="s">
        <v>738</v>
      </c>
      <c r="B312" s="19" t="s">
        <v>739</v>
      </c>
      <c r="C312" s="20" t="s">
        <v>161</v>
      </c>
      <c r="D312" s="35">
        <v>1</v>
      </c>
      <c r="E312" s="36">
        <v>0</v>
      </c>
      <c r="F312" s="36">
        <v>6800</v>
      </c>
      <c r="G312" s="37">
        <f t="shared" si="18"/>
        <v>6800</v>
      </c>
      <c r="H312" s="38">
        <f t="shared" si="19"/>
        <v>6800</v>
      </c>
    </row>
    <row r="313" spans="1:8" ht="13.5" customHeight="1" x14ac:dyDescent="0.35">
      <c r="A313" s="39" t="s">
        <v>740</v>
      </c>
      <c r="B313" s="40" t="s">
        <v>741</v>
      </c>
      <c r="C313" s="41" t="s">
        <v>218</v>
      </c>
      <c r="D313" s="42">
        <v>1</v>
      </c>
      <c r="E313" s="36">
        <v>4900</v>
      </c>
      <c r="F313" s="36">
        <v>980</v>
      </c>
      <c r="G313" s="43">
        <f t="shared" si="18"/>
        <v>5880</v>
      </c>
      <c r="H313" s="44">
        <f t="shared" si="19"/>
        <v>5880</v>
      </c>
    </row>
    <row r="314" spans="1:8" ht="13.5" customHeight="1" x14ac:dyDescent="0.35">
      <c r="A314" s="34" t="s">
        <v>742</v>
      </c>
      <c r="B314" s="19" t="s">
        <v>743</v>
      </c>
      <c r="C314" s="20" t="s">
        <v>247</v>
      </c>
      <c r="D314" s="35">
        <v>3</v>
      </c>
      <c r="E314" s="36">
        <v>98</v>
      </c>
      <c r="F314" s="36">
        <v>47</v>
      </c>
      <c r="G314" s="37">
        <f t="shared" si="18"/>
        <v>145</v>
      </c>
      <c r="H314" s="38">
        <f t="shared" si="19"/>
        <v>435</v>
      </c>
    </row>
    <row r="315" spans="1:8" ht="13.5" customHeight="1" x14ac:dyDescent="0.35">
      <c r="A315" s="39" t="s">
        <v>744</v>
      </c>
      <c r="B315" s="40" t="s">
        <v>745</v>
      </c>
      <c r="C315" s="41" t="s">
        <v>247</v>
      </c>
      <c r="D315" s="42">
        <v>21</v>
      </c>
      <c r="E315" s="36">
        <v>70</v>
      </c>
      <c r="F315" s="36">
        <v>44</v>
      </c>
      <c r="G315" s="43">
        <f t="shared" si="18"/>
        <v>114</v>
      </c>
      <c r="H315" s="44">
        <f t="shared" si="19"/>
        <v>2394</v>
      </c>
    </row>
    <row r="316" spans="1:8" ht="13.5" customHeight="1" x14ac:dyDescent="0.35">
      <c r="A316" s="34" t="s">
        <v>746</v>
      </c>
      <c r="B316" s="19" t="s">
        <v>747</v>
      </c>
      <c r="C316" s="20" t="s">
        <v>247</v>
      </c>
      <c r="D316" s="35">
        <v>6</v>
      </c>
      <c r="E316" s="36">
        <v>80</v>
      </c>
      <c r="F316" s="36">
        <v>44</v>
      </c>
      <c r="G316" s="37">
        <f t="shared" ref="G316:G347" si="20">E316+F316</f>
        <v>124</v>
      </c>
      <c r="H316" s="38">
        <f t="shared" ref="H316:H347" si="21">ROUND(D316*G316,2)</f>
        <v>744</v>
      </c>
    </row>
    <row r="317" spans="1:8" ht="13.5" customHeight="1" x14ac:dyDescent="0.35">
      <c r="A317" s="39" t="s">
        <v>748</v>
      </c>
      <c r="B317" s="40" t="s">
        <v>749</v>
      </c>
      <c r="C317" s="41" t="s">
        <v>247</v>
      </c>
      <c r="D317" s="42">
        <v>3</v>
      </c>
      <c r="E317" s="36">
        <v>88</v>
      </c>
      <c r="F317" s="36">
        <v>42</v>
      </c>
      <c r="G317" s="43">
        <f t="shared" si="20"/>
        <v>130</v>
      </c>
      <c r="H317" s="44">
        <f t="shared" si="21"/>
        <v>390</v>
      </c>
    </row>
    <row r="318" spans="1:8" ht="13.5" customHeight="1" x14ac:dyDescent="0.35">
      <c r="A318" s="34" t="s">
        <v>750</v>
      </c>
      <c r="B318" s="19" t="s">
        <v>751</v>
      </c>
      <c r="C318" s="20" t="s">
        <v>247</v>
      </c>
      <c r="D318" s="35">
        <v>3</v>
      </c>
      <c r="E318" s="36">
        <v>123</v>
      </c>
      <c r="F318" s="36">
        <v>50</v>
      </c>
      <c r="G318" s="37">
        <f t="shared" si="20"/>
        <v>173</v>
      </c>
      <c r="H318" s="38">
        <f t="shared" si="21"/>
        <v>519</v>
      </c>
    </row>
    <row r="319" spans="1:8" ht="13.5" customHeight="1" x14ac:dyDescent="0.35">
      <c r="A319" s="39" t="s">
        <v>752</v>
      </c>
      <c r="B319" s="40" t="s">
        <v>753</v>
      </c>
      <c r="C319" s="41" t="s">
        <v>247</v>
      </c>
      <c r="D319" s="42">
        <v>3</v>
      </c>
      <c r="E319" s="36">
        <v>80</v>
      </c>
      <c r="F319" s="36">
        <v>42</v>
      </c>
      <c r="G319" s="43">
        <f t="shared" si="20"/>
        <v>122</v>
      </c>
      <c r="H319" s="44">
        <f t="shared" si="21"/>
        <v>366</v>
      </c>
    </row>
    <row r="320" spans="1:8" ht="13.5" customHeight="1" x14ac:dyDescent="0.35">
      <c r="A320" s="34" t="s">
        <v>754</v>
      </c>
      <c r="B320" s="19" t="s">
        <v>755</v>
      </c>
      <c r="C320" s="20" t="s">
        <v>247</v>
      </c>
      <c r="D320" s="35">
        <v>5</v>
      </c>
      <c r="E320" s="36">
        <v>67</v>
      </c>
      <c r="F320" s="36">
        <v>36</v>
      </c>
      <c r="G320" s="37">
        <f t="shared" si="20"/>
        <v>103</v>
      </c>
      <c r="H320" s="38">
        <f t="shared" si="21"/>
        <v>515</v>
      </c>
    </row>
    <row r="321" spans="1:8" ht="13.5" customHeight="1" x14ac:dyDescent="0.35">
      <c r="A321" s="39" t="s">
        <v>756</v>
      </c>
      <c r="B321" s="40" t="s">
        <v>757</v>
      </c>
      <c r="C321" s="41" t="s">
        <v>247</v>
      </c>
      <c r="D321" s="42">
        <v>1</v>
      </c>
      <c r="E321" s="36">
        <v>148</v>
      </c>
      <c r="F321" s="36">
        <v>57</v>
      </c>
      <c r="G321" s="43">
        <f t="shared" si="20"/>
        <v>205</v>
      </c>
      <c r="H321" s="44">
        <f t="shared" si="21"/>
        <v>205</v>
      </c>
    </row>
    <row r="322" spans="1:8" ht="13.5" customHeight="1" x14ac:dyDescent="0.35">
      <c r="A322" s="34" t="s">
        <v>758</v>
      </c>
      <c r="B322" s="19" t="s">
        <v>759</v>
      </c>
      <c r="C322" s="20" t="s">
        <v>247</v>
      </c>
      <c r="D322" s="35">
        <v>3</v>
      </c>
      <c r="E322" s="36">
        <v>123</v>
      </c>
      <c r="F322" s="36">
        <v>52</v>
      </c>
      <c r="G322" s="37">
        <f t="shared" si="20"/>
        <v>175</v>
      </c>
      <c r="H322" s="38">
        <f t="shared" si="21"/>
        <v>525</v>
      </c>
    </row>
    <row r="323" spans="1:8" ht="13.5" customHeight="1" x14ac:dyDescent="0.35">
      <c r="A323" s="39" t="s">
        <v>760</v>
      </c>
      <c r="B323" s="40" t="s">
        <v>761</v>
      </c>
      <c r="C323" s="41" t="s">
        <v>247</v>
      </c>
      <c r="D323" s="42">
        <v>5</v>
      </c>
      <c r="E323" s="36">
        <v>118</v>
      </c>
      <c r="F323" s="36">
        <v>50</v>
      </c>
      <c r="G323" s="43">
        <f t="shared" si="20"/>
        <v>168</v>
      </c>
      <c r="H323" s="44">
        <f t="shared" si="21"/>
        <v>840</v>
      </c>
    </row>
    <row r="324" spans="1:8" ht="13.5" customHeight="1" x14ac:dyDescent="0.35">
      <c r="A324" s="34" t="s">
        <v>762</v>
      </c>
      <c r="B324" s="19" t="s">
        <v>763</v>
      </c>
      <c r="C324" s="20" t="s">
        <v>228</v>
      </c>
      <c r="D324" s="35">
        <v>425.27100000000002</v>
      </c>
      <c r="E324" s="36">
        <v>1.6</v>
      </c>
      <c r="F324" s="36">
        <v>1.4</v>
      </c>
      <c r="G324" s="37">
        <f t="shared" si="20"/>
        <v>3</v>
      </c>
      <c r="H324" s="38">
        <f t="shared" si="21"/>
        <v>1275.81</v>
      </c>
    </row>
    <row r="325" spans="1:8" ht="13.5" customHeight="1" x14ac:dyDescent="0.35">
      <c r="A325" s="39" t="s">
        <v>764</v>
      </c>
      <c r="B325" s="40" t="s">
        <v>765</v>
      </c>
      <c r="C325" s="41" t="s">
        <v>228</v>
      </c>
      <c r="D325" s="42">
        <v>324.5</v>
      </c>
      <c r="E325" s="36">
        <v>1.1000000000000001</v>
      </c>
      <c r="F325" s="36">
        <v>1.3</v>
      </c>
      <c r="G325" s="43">
        <f t="shared" si="20"/>
        <v>2.4000000000000004</v>
      </c>
      <c r="H325" s="44">
        <f t="shared" si="21"/>
        <v>778.8</v>
      </c>
    </row>
    <row r="326" spans="1:8" ht="13.5" customHeight="1" x14ac:dyDescent="0.35">
      <c r="A326" s="34" t="s">
        <v>766</v>
      </c>
      <c r="B326" s="19" t="s">
        <v>767</v>
      </c>
      <c r="C326" s="20" t="s">
        <v>228</v>
      </c>
      <c r="D326" s="35">
        <v>263.08699999999999</v>
      </c>
      <c r="E326" s="36">
        <v>4.5</v>
      </c>
      <c r="F326" s="36">
        <v>5.7</v>
      </c>
      <c r="G326" s="37">
        <f t="shared" si="20"/>
        <v>10.199999999999999</v>
      </c>
      <c r="H326" s="38">
        <f t="shared" si="21"/>
        <v>2683.49</v>
      </c>
    </row>
    <row r="327" spans="1:8" ht="13.5" customHeight="1" x14ac:dyDescent="0.35">
      <c r="A327" s="39" t="s">
        <v>768</v>
      </c>
      <c r="B327" s="40" t="s">
        <v>769</v>
      </c>
      <c r="C327" s="41" t="s">
        <v>228</v>
      </c>
      <c r="D327" s="42">
        <v>163.58099999999999</v>
      </c>
      <c r="E327" s="36">
        <v>5.7</v>
      </c>
      <c r="F327" s="36">
        <v>6.3</v>
      </c>
      <c r="G327" s="43">
        <f t="shared" si="20"/>
        <v>12</v>
      </c>
      <c r="H327" s="44">
        <f t="shared" si="21"/>
        <v>1962.97</v>
      </c>
    </row>
    <row r="328" spans="1:8" ht="13.5" customHeight="1" x14ac:dyDescent="0.35">
      <c r="A328" s="34" t="s">
        <v>770</v>
      </c>
      <c r="B328" s="19" t="s">
        <v>588</v>
      </c>
      <c r="C328" s="20" t="s">
        <v>247</v>
      </c>
      <c r="D328" s="35">
        <v>50</v>
      </c>
      <c r="E328" s="36">
        <v>4.4000000000000004</v>
      </c>
      <c r="F328" s="36">
        <v>5.7</v>
      </c>
      <c r="G328" s="37">
        <f t="shared" si="20"/>
        <v>10.100000000000001</v>
      </c>
      <c r="H328" s="38">
        <f t="shared" si="21"/>
        <v>505</v>
      </c>
    </row>
    <row r="329" spans="1:8" ht="21.75" customHeight="1" x14ac:dyDescent="0.35">
      <c r="A329" s="39" t="s">
        <v>771</v>
      </c>
      <c r="B329" s="40" t="s">
        <v>772</v>
      </c>
      <c r="C329" s="41" t="s">
        <v>161</v>
      </c>
      <c r="D329" s="42">
        <v>1</v>
      </c>
      <c r="E329" s="36">
        <v>0</v>
      </c>
      <c r="F329" s="36">
        <v>2600</v>
      </c>
      <c r="G329" s="43">
        <f t="shared" si="20"/>
        <v>2600</v>
      </c>
      <c r="H329" s="44">
        <f t="shared" si="21"/>
        <v>2600</v>
      </c>
    </row>
    <row r="330" spans="1:8" ht="13.5" customHeight="1" x14ac:dyDescent="0.35">
      <c r="A330" s="34" t="s">
        <v>773</v>
      </c>
      <c r="B330" s="19" t="s">
        <v>774</v>
      </c>
      <c r="C330" s="20" t="s">
        <v>334</v>
      </c>
      <c r="D330" s="35">
        <v>176.39599999999999</v>
      </c>
      <c r="E330" s="36">
        <v>2.7</v>
      </c>
      <c r="F330" s="36">
        <v>2.35</v>
      </c>
      <c r="G330" s="37">
        <f t="shared" si="20"/>
        <v>5.0500000000000007</v>
      </c>
      <c r="H330" s="38">
        <f t="shared" si="21"/>
        <v>890.8</v>
      </c>
    </row>
    <row r="331" spans="1:8" ht="21.75" customHeight="1" x14ac:dyDescent="0.35">
      <c r="A331" s="39" t="s">
        <v>775</v>
      </c>
      <c r="B331" s="40" t="s">
        <v>776</v>
      </c>
      <c r="C331" s="41" t="s">
        <v>334</v>
      </c>
      <c r="D331" s="42">
        <v>176.39599999999999</v>
      </c>
      <c r="E331" s="36">
        <v>0.7</v>
      </c>
      <c r="F331" s="36">
        <v>1.1499999999999999</v>
      </c>
      <c r="G331" s="43">
        <f t="shared" si="20"/>
        <v>1.8499999999999999</v>
      </c>
      <c r="H331" s="44">
        <f t="shared" si="21"/>
        <v>326.33</v>
      </c>
    </row>
    <row r="332" spans="1:8" ht="21.75" customHeight="1" x14ac:dyDescent="0.35">
      <c r="A332" s="34" t="s">
        <v>777</v>
      </c>
      <c r="B332" s="19" t="s">
        <v>778</v>
      </c>
      <c r="C332" s="20" t="s">
        <v>161</v>
      </c>
      <c r="D332" s="35">
        <v>1</v>
      </c>
      <c r="E332" s="36">
        <v>0</v>
      </c>
      <c r="F332" s="36">
        <v>7800</v>
      </c>
      <c r="G332" s="37">
        <f t="shared" si="20"/>
        <v>7800</v>
      </c>
      <c r="H332" s="38">
        <f t="shared" si="21"/>
        <v>7800</v>
      </c>
    </row>
    <row r="333" spans="1:8" ht="21.75" customHeight="1" x14ac:dyDescent="0.35">
      <c r="A333" s="39" t="s">
        <v>779</v>
      </c>
      <c r="B333" s="40" t="s">
        <v>780</v>
      </c>
      <c r="C333" s="41" t="s">
        <v>161</v>
      </c>
      <c r="D333" s="42">
        <v>1</v>
      </c>
      <c r="E333" s="36">
        <v>3500</v>
      </c>
      <c r="F333" s="36">
        <v>0</v>
      </c>
      <c r="G333" s="43">
        <f t="shared" si="20"/>
        <v>3500</v>
      </c>
      <c r="H333" s="44">
        <f t="shared" si="21"/>
        <v>3500</v>
      </c>
    </row>
    <row r="334" spans="1:8" ht="21.75" customHeight="1" x14ac:dyDescent="0.35">
      <c r="A334" s="34" t="s">
        <v>781</v>
      </c>
      <c r="B334" s="19" t="s">
        <v>782</v>
      </c>
      <c r="C334" s="20" t="s">
        <v>161</v>
      </c>
      <c r="D334" s="35">
        <v>1</v>
      </c>
      <c r="E334" s="36">
        <v>0</v>
      </c>
      <c r="F334" s="36">
        <v>4800</v>
      </c>
      <c r="G334" s="37">
        <f t="shared" si="20"/>
        <v>4800</v>
      </c>
      <c r="H334" s="38">
        <f t="shared" si="21"/>
        <v>4800</v>
      </c>
    </row>
    <row r="335" spans="1:8" ht="19.5" customHeight="1" x14ac:dyDescent="0.35">
      <c r="A335" s="24" t="s">
        <v>783</v>
      </c>
      <c r="B335" s="117" t="s">
        <v>784</v>
      </c>
      <c r="C335" s="117"/>
      <c r="D335" s="117"/>
      <c r="E335" s="117"/>
      <c r="F335" s="117"/>
      <c r="G335" s="117"/>
      <c r="H335" s="45">
        <f>SUM(H284:H334)</f>
        <v>150728.23999999996</v>
      </c>
    </row>
    <row r="337" spans="1:8" ht="19.5" customHeight="1" x14ac:dyDescent="0.35">
      <c r="A337" s="116" t="s">
        <v>785</v>
      </c>
      <c r="B337" s="116"/>
      <c r="C337" s="116"/>
      <c r="D337" s="116"/>
      <c r="E337" s="116"/>
      <c r="F337" s="116"/>
      <c r="G337" s="116"/>
      <c r="H337" s="116"/>
    </row>
    <row r="338" spans="1:8" ht="21.75" customHeight="1" x14ac:dyDescent="0.35">
      <c r="A338" s="34" t="s">
        <v>786</v>
      </c>
      <c r="B338" s="19" t="s">
        <v>787</v>
      </c>
      <c r="C338" s="20" t="s">
        <v>247</v>
      </c>
      <c r="D338" s="35">
        <v>8</v>
      </c>
      <c r="E338" s="36">
        <v>265</v>
      </c>
      <c r="F338" s="36">
        <v>98</v>
      </c>
      <c r="G338" s="37">
        <f t="shared" ref="G338:G357" si="22">E338+F338</f>
        <v>363</v>
      </c>
      <c r="H338" s="38">
        <f t="shared" ref="H338:H357" si="23">ROUND(D338*G338,2)</f>
        <v>2904</v>
      </c>
    </row>
    <row r="339" spans="1:8" ht="13.5" customHeight="1" x14ac:dyDescent="0.35">
      <c r="A339" s="39" t="s">
        <v>788</v>
      </c>
      <c r="B339" s="40" t="s">
        <v>789</v>
      </c>
      <c r="C339" s="41" t="s">
        <v>228</v>
      </c>
      <c r="D339" s="42">
        <v>60</v>
      </c>
      <c r="E339" s="36">
        <v>33</v>
      </c>
      <c r="F339" s="36">
        <v>19</v>
      </c>
      <c r="G339" s="43">
        <f t="shared" si="22"/>
        <v>52</v>
      </c>
      <c r="H339" s="44">
        <f t="shared" si="23"/>
        <v>3120</v>
      </c>
    </row>
    <row r="340" spans="1:8" ht="13.5" customHeight="1" x14ac:dyDescent="0.35">
      <c r="A340" s="34" t="s">
        <v>790</v>
      </c>
      <c r="B340" s="19" t="s">
        <v>791</v>
      </c>
      <c r="C340" s="20" t="s">
        <v>228</v>
      </c>
      <c r="D340" s="35">
        <v>600</v>
      </c>
      <c r="E340" s="36">
        <v>1.5</v>
      </c>
      <c r="F340" s="36">
        <v>1.1499999999999999</v>
      </c>
      <c r="G340" s="37">
        <f t="shared" si="22"/>
        <v>2.65</v>
      </c>
      <c r="H340" s="38">
        <f t="shared" si="23"/>
        <v>1590</v>
      </c>
    </row>
    <row r="341" spans="1:8" ht="13.5" customHeight="1" x14ac:dyDescent="0.35">
      <c r="A341" s="39" t="s">
        <v>792</v>
      </c>
      <c r="B341" s="40" t="s">
        <v>793</v>
      </c>
      <c r="C341" s="41" t="s">
        <v>228</v>
      </c>
      <c r="D341" s="42">
        <v>80</v>
      </c>
      <c r="E341" s="36">
        <v>4.3</v>
      </c>
      <c r="F341" s="36">
        <v>5.3</v>
      </c>
      <c r="G341" s="43">
        <f t="shared" si="22"/>
        <v>9.6</v>
      </c>
      <c r="H341" s="44">
        <f t="shared" si="23"/>
        <v>768</v>
      </c>
    </row>
    <row r="342" spans="1:8" ht="13.5" customHeight="1" x14ac:dyDescent="0.35">
      <c r="A342" s="34" t="s">
        <v>794</v>
      </c>
      <c r="B342" s="19" t="s">
        <v>795</v>
      </c>
      <c r="C342" s="20" t="s">
        <v>247</v>
      </c>
      <c r="D342" s="35">
        <v>8</v>
      </c>
      <c r="E342" s="36">
        <v>4.4000000000000004</v>
      </c>
      <c r="F342" s="36">
        <v>5.7</v>
      </c>
      <c r="G342" s="37">
        <f t="shared" si="22"/>
        <v>10.100000000000001</v>
      </c>
      <c r="H342" s="38">
        <f t="shared" si="23"/>
        <v>80.8</v>
      </c>
    </row>
    <row r="343" spans="1:8" ht="13.5" customHeight="1" x14ac:dyDescent="0.35">
      <c r="A343" s="39" t="s">
        <v>796</v>
      </c>
      <c r="B343" s="40" t="s">
        <v>797</v>
      </c>
      <c r="C343" s="41" t="s">
        <v>161</v>
      </c>
      <c r="D343" s="42">
        <v>1</v>
      </c>
      <c r="E343" s="36">
        <v>0</v>
      </c>
      <c r="F343" s="36">
        <v>1800</v>
      </c>
      <c r="G343" s="43">
        <f t="shared" si="22"/>
        <v>1800</v>
      </c>
      <c r="H343" s="44">
        <f t="shared" si="23"/>
        <v>1800</v>
      </c>
    </row>
    <row r="344" spans="1:8" ht="21.75" customHeight="1" x14ac:dyDescent="0.35">
      <c r="A344" s="34" t="s">
        <v>798</v>
      </c>
      <c r="B344" s="19" t="s">
        <v>703</v>
      </c>
      <c r="C344" s="20" t="s">
        <v>334</v>
      </c>
      <c r="D344" s="35">
        <v>186.77</v>
      </c>
      <c r="E344" s="36">
        <v>2.7</v>
      </c>
      <c r="F344" s="36">
        <v>2.35</v>
      </c>
      <c r="G344" s="37">
        <f t="shared" si="22"/>
        <v>5.0500000000000007</v>
      </c>
      <c r="H344" s="38">
        <f t="shared" si="23"/>
        <v>943.19</v>
      </c>
    </row>
    <row r="345" spans="1:8" ht="21.75" customHeight="1" x14ac:dyDescent="0.35">
      <c r="A345" s="39" t="s">
        <v>799</v>
      </c>
      <c r="B345" s="40" t="s">
        <v>800</v>
      </c>
      <c r="C345" s="41" t="s">
        <v>161</v>
      </c>
      <c r="D345" s="42">
        <v>1</v>
      </c>
      <c r="E345" s="36">
        <v>0</v>
      </c>
      <c r="F345" s="36">
        <v>3400</v>
      </c>
      <c r="G345" s="43">
        <f t="shared" si="22"/>
        <v>3400</v>
      </c>
      <c r="H345" s="44">
        <f t="shared" si="23"/>
        <v>3400</v>
      </c>
    </row>
    <row r="346" spans="1:8" ht="13.5" customHeight="1" x14ac:dyDescent="0.35">
      <c r="A346" s="34" t="s">
        <v>801</v>
      </c>
      <c r="B346" s="19" t="s">
        <v>802</v>
      </c>
      <c r="C346" s="20" t="s">
        <v>247</v>
      </c>
      <c r="D346" s="35">
        <v>7</v>
      </c>
      <c r="E346" s="36">
        <v>640</v>
      </c>
      <c r="F346" s="36">
        <v>150</v>
      </c>
      <c r="G346" s="37">
        <f t="shared" si="22"/>
        <v>790</v>
      </c>
      <c r="H346" s="38">
        <f t="shared" si="23"/>
        <v>5530</v>
      </c>
    </row>
    <row r="347" spans="1:8" ht="13.5" customHeight="1" x14ac:dyDescent="0.35">
      <c r="A347" s="39" t="s">
        <v>803</v>
      </c>
      <c r="B347" s="40" t="s">
        <v>804</v>
      </c>
      <c r="C347" s="41" t="s">
        <v>247</v>
      </c>
      <c r="D347" s="42">
        <v>7</v>
      </c>
      <c r="E347" s="36">
        <v>88</v>
      </c>
      <c r="F347" s="36">
        <v>42</v>
      </c>
      <c r="G347" s="43">
        <f t="shared" si="22"/>
        <v>130</v>
      </c>
      <c r="H347" s="44">
        <f t="shared" si="23"/>
        <v>910</v>
      </c>
    </row>
    <row r="348" spans="1:8" ht="13.5" customHeight="1" x14ac:dyDescent="0.35">
      <c r="A348" s="34" t="s">
        <v>805</v>
      </c>
      <c r="B348" s="19" t="s">
        <v>806</v>
      </c>
      <c r="C348" s="20" t="s">
        <v>247</v>
      </c>
      <c r="D348" s="35">
        <v>3</v>
      </c>
      <c r="E348" s="36">
        <v>115</v>
      </c>
      <c r="F348" s="36">
        <v>68</v>
      </c>
      <c r="G348" s="37">
        <f t="shared" si="22"/>
        <v>183</v>
      </c>
      <c r="H348" s="38">
        <f t="shared" si="23"/>
        <v>549</v>
      </c>
    </row>
    <row r="349" spans="1:8" ht="13.5" customHeight="1" x14ac:dyDescent="0.35">
      <c r="A349" s="39" t="s">
        <v>807</v>
      </c>
      <c r="B349" s="40" t="s">
        <v>808</v>
      </c>
      <c r="C349" s="41" t="s">
        <v>247</v>
      </c>
      <c r="D349" s="42">
        <v>4</v>
      </c>
      <c r="E349" s="36">
        <v>190</v>
      </c>
      <c r="F349" s="36">
        <v>88</v>
      </c>
      <c r="G349" s="43">
        <f t="shared" si="22"/>
        <v>278</v>
      </c>
      <c r="H349" s="44">
        <f t="shared" si="23"/>
        <v>1112</v>
      </c>
    </row>
    <row r="350" spans="1:8" ht="13.5" customHeight="1" x14ac:dyDescent="0.35">
      <c r="A350" s="34" t="s">
        <v>809</v>
      </c>
      <c r="B350" s="19" t="s">
        <v>810</v>
      </c>
      <c r="C350" s="20" t="s">
        <v>247</v>
      </c>
      <c r="D350" s="35">
        <v>7</v>
      </c>
      <c r="E350" s="36">
        <v>34</v>
      </c>
      <c r="F350" s="36">
        <v>29</v>
      </c>
      <c r="G350" s="37">
        <f t="shared" si="22"/>
        <v>63</v>
      </c>
      <c r="H350" s="38">
        <f t="shared" si="23"/>
        <v>441</v>
      </c>
    </row>
    <row r="351" spans="1:8" ht="13.5" customHeight="1" x14ac:dyDescent="0.35">
      <c r="A351" s="39" t="s">
        <v>811</v>
      </c>
      <c r="B351" s="40" t="s">
        <v>812</v>
      </c>
      <c r="C351" s="41" t="s">
        <v>228</v>
      </c>
      <c r="D351" s="42">
        <v>600</v>
      </c>
      <c r="E351" s="36">
        <v>2.5</v>
      </c>
      <c r="F351" s="36">
        <v>1.35</v>
      </c>
      <c r="G351" s="43">
        <f t="shared" si="22"/>
        <v>3.85</v>
      </c>
      <c r="H351" s="44">
        <f t="shared" si="23"/>
        <v>2310</v>
      </c>
    </row>
    <row r="352" spans="1:8" ht="13.5" customHeight="1" x14ac:dyDescent="0.35">
      <c r="A352" s="34" t="s">
        <v>813</v>
      </c>
      <c r="B352" s="19" t="s">
        <v>814</v>
      </c>
      <c r="C352" s="20" t="s">
        <v>228</v>
      </c>
      <c r="D352" s="35">
        <v>100</v>
      </c>
      <c r="E352" s="36">
        <v>1.85</v>
      </c>
      <c r="F352" s="36">
        <v>1.25</v>
      </c>
      <c r="G352" s="37">
        <f t="shared" si="22"/>
        <v>3.1</v>
      </c>
      <c r="H352" s="38">
        <f t="shared" si="23"/>
        <v>310</v>
      </c>
    </row>
    <row r="353" spans="1:8" ht="13.5" customHeight="1" x14ac:dyDescent="0.35">
      <c r="A353" s="39" t="s">
        <v>815</v>
      </c>
      <c r="B353" s="40" t="s">
        <v>816</v>
      </c>
      <c r="C353" s="41" t="s">
        <v>228</v>
      </c>
      <c r="D353" s="42">
        <v>80</v>
      </c>
      <c r="E353" s="36">
        <v>1.1499999999999999</v>
      </c>
      <c r="F353" s="36">
        <v>1.1499999999999999</v>
      </c>
      <c r="G353" s="43">
        <f t="shared" si="22"/>
        <v>2.2999999999999998</v>
      </c>
      <c r="H353" s="44">
        <f t="shared" si="23"/>
        <v>184</v>
      </c>
    </row>
    <row r="354" spans="1:8" ht="13.5" customHeight="1" x14ac:dyDescent="0.35">
      <c r="A354" s="34" t="s">
        <v>817</v>
      </c>
      <c r="B354" s="19" t="s">
        <v>818</v>
      </c>
      <c r="C354" s="20" t="s">
        <v>228</v>
      </c>
      <c r="D354" s="35">
        <v>180</v>
      </c>
      <c r="E354" s="36">
        <v>3.3</v>
      </c>
      <c r="F354" s="36">
        <v>4.9000000000000004</v>
      </c>
      <c r="G354" s="37">
        <f t="shared" si="22"/>
        <v>8.1999999999999993</v>
      </c>
      <c r="H354" s="38">
        <f t="shared" si="23"/>
        <v>1476</v>
      </c>
    </row>
    <row r="355" spans="1:8" ht="13.5" customHeight="1" x14ac:dyDescent="0.35">
      <c r="A355" s="39" t="s">
        <v>819</v>
      </c>
      <c r="B355" s="40" t="s">
        <v>793</v>
      </c>
      <c r="C355" s="41" t="s">
        <v>228</v>
      </c>
      <c r="D355" s="42">
        <v>100</v>
      </c>
      <c r="E355" s="36">
        <v>4.3</v>
      </c>
      <c r="F355" s="36">
        <v>5.3</v>
      </c>
      <c r="G355" s="43">
        <f t="shared" si="22"/>
        <v>9.6</v>
      </c>
      <c r="H355" s="44">
        <f t="shared" si="23"/>
        <v>960</v>
      </c>
    </row>
    <row r="356" spans="1:8" ht="13.5" customHeight="1" x14ac:dyDescent="0.35">
      <c r="A356" s="34" t="s">
        <v>820</v>
      </c>
      <c r="B356" s="19" t="s">
        <v>821</v>
      </c>
      <c r="C356" s="20" t="s">
        <v>161</v>
      </c>
      <c r="D356" s="35">
        <v>1</v>
      </c>
      <c r="E356" s="36">
        <v>2800</v>
      </c>
      <c r="F356" s="36">
        <v>0</v>
      </c>
      <c r="G356" s="37">
        <f t="shared" si="22"/>
        <v>2800</v>
      </c>
      <c r="H356" s="38">
        <f t="shared" si="23"/>
        <v>2800</v>
      </c>
    </row>
    <row r="357" spans="1:8" ht="21.75" customHeight="1" x14ac:dyDescent="0.35">
      <c r="A357" s="39" t="s">
        <v>822</v>
      </c>
      <c r="B357" s="40" t="s">
        <v>823</v>
      </c>
      <c r="C357" s="41" t="s">
        <v>161</v>
      </c>
      <c r="D357" s="42">
        <v>1</v>
      </c>
      <c r="E357" s="36">
        <v>0</v>
      </c>
      <c r="F357" s="36">
        <v>3800</v>
      </c>
      <c r="G357" s="43">
        <f t="shared" si="22"/>
        <v>3800</v>
      </c>
      <c r="H357" s="44">
        <f t="shared" si="23"/>
        <v>3800</v>
      </c>
    </row>
    <row r="358" spans="1:8" ht="19.5" customHeight="1" x14ac:dyDescent="0.35">
      <c r="A358" s="24" t="s">
        <v>824</v>
      </c>
      <c r="B358" s="117" t="s">
        <v>825</v>
      </c>
      <c r="C358" s="117"/>
      <c r="D358" s="117"/>
      <c r="E358" s="117"/>
      <c r="F358" s="117"/>
      <c r="G358" s="117"/>
      <c r="H358" s="45">
        <f>SUM(H338:H357)</f>
        <v>34987.99</v>
      </c>
    </row>
    <row r="360" spans="1:8" ht="19.5" customHeight="1" x14ac:dyDescent="0.35">
      <c r="A360" s="116" t="s">
        <v>826</v>
      </c>
      <c r="B360" s="116"/>
      <c r="C360" s="116"/>
      <c r="D360" s="116"/>
      <c r="E360" s="116"/>
      <c r="F360" s="116"/>
      <c r="G360" s="116"/>
      <c r="H360" s="116"/>
    </row>
    <row r="361" spans="1:8" ht="21.75" customHeight="1" x14ac:dyDescent="0.35">
      <c r="A361" s="34" t="s">
        <v>827</v>
      </c>
      <c r="B361" s="19" t="s">
        <v>828</v>
      </c>
      <c r="C361" s="20" t="s">
        <v>228</v>
      </c>
      <c r="D361" s="35">
        <v>150</v>
      </c>
      <c r="E361" s="36">
        <v>59</v>
      </c>
      <c r="F361" s="36">
        <v>35</v>
      </c>
      <c r="G361" s="37">
        <f t="shared" ref="G361:G368" si="24">E361+F361</f>
        <v>94</v>
      </c>
      <c r="H361" s="38">
        <f t="shared" ref="H361:H368" si="25">ROUND(D361*G361,2)</f>
        <v>14100</v>
      </c>
    </row>
    <row r="362" spans="1:8" ht="21.75" customHeight="1" x14ac:dyDescent="0.35">
      <c r="A362" s="39" t="s">
        <v>829</v>
      </c>
      <c r="B362" s="40" t="s">
        <v>830</v>
      </c>
      <c r="C362" s="41" t="s">
        <v>228</v>
      </c>
      <c r="D362" s="42">
        <v>4</v>
      </c>
      <c r="E362" s="36">
        <v>23</v>
      </c>
      <c r="F362" s="36">
        <v>21</v>
      </c>
      <c r="G362" s="43">
        <f t="shared" si="24"/>
        <v>44</v>
      </c>
      <c r="H362" s="44">
        <f t="shared" si="25"/>
        <v>176</v>
      </c>
    </row>
    <row r="363" spans="1:8" ht="21.75" customHeight="1" x14ac:dyDescent="0.35">
      <c r="A363" s="34" t="s">
        <v>831</v>
      </c>
      <c r="B363" s="19" t="s">
        <v>832</v>
      </c>
      <c r="C363" s="20" t="s">
        <v>161</v>
      </c>
      <c r="D363" s="35">
        <v>1</v>
      </c>
      <c r="E363" s="36">
        <v>6800</v>
      </c>
      <c r="F363" s="36">
        <v>0</v>
      </c>
      <c r="G363" s="37">
        <f t="shared" si="24"/>
        <v>6800</v>
      </c>
      <c r="H363" s="38">
        <f t="shared" si="25"/>
        <v>6800</v>
      </c>
    </row>
    <row r="364" spans="1:8" ht="21.75" customHeight="1" x14ac:dyDescent="0.35">
      <c r="A364" s="39" t="s">
        <v>833</v>
      </c>
      <c r="B364" s="40" t="s">
        <v>834</v>
      </c>
      <c r="C364" s="41" t="s">
        <v>247</v>
      </c>
      <c r="D364" s="42">
        <v>8</v>
      </c>
      <c r="E364" s="36">
        <v>98</v>
      </c>
      <c r="F364" s="36">
        <v>47</v>
      </c>
      <c r="G364" s="43">
        <f t="shared" si="24"/>
        <v>145</v>
      </c>
      <c r="H364" s="44">
        <f t="shared" si="25"/>
        <v>1160</v>
      </c>
    </row>
    <row r="365" spans="1:8" ht="21.75" customHeight="1" x14ac:dyDescent="0.35">
      <c r="A365" s="34" t="s">
        <v>835</v>
      </c>
      <c r="B365" s="19" t="s">
        <v>703</v>
      </c>
      <c r="C365" s="20" t="s">
        <v>334</v>
      </c>
      <c r="D365" s="35">
        <v>134.86935</v>
      </c>
      <c r="E365" s="36">
        <v>2.7</v>
      </c>
      <c r="F365" s="36">
        <v>2.35</v>
      </c>
      <c r="G365" s="37">
        <f t="shared" si="24"/>
        <v>5.0500000000000007</v>
      </c>
      <c r="H365" s="38">
        <f t="shared" si="25"/>
        <v>681.09</v>
      </c>
    </row>
    <row r="366" spans="1:8" ht="13.5" customHeight="1" x14ac:dyDescent="0.35">
      <c r="A366" s="39" t="s">
        <v>836</v>
      </c>
      <c r="B366" s="40" t="s">
        <v>837</v>
      </c>
      <c r="C366" s="41" t="s">
        <v>161</v>
      </c>
      <c r="D366" s="42">
        <v>1</v>
      </c>
      <c r="E366" s="36">
        <v>0</v>
      </c>
      <c r="F366" s="36">
        <v>1600</v>
      </c>
      <c r="G366" s="43">
        <f t="shared" si="24"/>
        <v>1600</v>
      </c>
      <c r="H366" s="44">
        <f t="shared" si="25"/>
        <v>1600</v>
      </c>
    </row>
    <row r="367" spans="1:8" ht="13.5" customHeight="1" x14ac:dyDescent="0.35">
      <c r="A367" s="34" t="s">
        <v>838</v>
      </c>
      <c r="B367" s="19" t="s">
        <v>839</v>
      </c>
      <c r="C367" s="20" t="s">
        <v>161</v>
      </c>
      <c r="D367" s="35">
        <v>1</v>
      </c>
      <c r="E367" s="36">
        <v>2400</v>
      </c>
      <c r="F367" s="36">
        <v>0</v>
      </c>
      <c r="G367" s="37">
        <f t="shared" si="24"/>
        <v>2400</v>
      </c>
      <c r="H367" s="38">
        <f t="shared" si="25"/>
        <v>2400</v>
      </c>
    </row>
    <row r="368" spans="1:8" ht="13.5" customHeight="1" x14ac:dyDescent="0.35">
      <c r="A368" s="39" t="s">
        <v>840</v>
      </c>
      <c r="B368" s="40" t="s">
        <v>841</v>
      </c>
      <c r="C368" s="41" t="s">
        <v>161</v>
      </c>
      <c r="D368" s="42">
        <v>1</v>
      </c>
      <c r="E368" s="36">
        <v>0</v>
      </c>
      <c r="F368" s="36">
        <v>3400</v>
      </c>
      <c r="G368" s="43">
        <f t="shared" si="24"/>
        <v>3400</v>
      </c>
      <c r="H368" s="44">
        <f t="shared" si="25"/>
        <v>3400</v>
      </c>
    </row>
    <row r="369" spans="1:8" ht="19.5" customHeight="1" x14ac:dyDescent="0.35">
      <c r="A369" s="24" t="s">
        <v>842</v>
      </c>
      <c r="B369" s="117" t="s">
        <v>843</v>
      </c>
      <c r="C369" s="117"/>
      <c r="D369" s="117"/>
      <c r="E369" s="117"/>
      <c r="F369" s="117"/>
      <c r="G369" s="117"/>
      <c r="H369" s="45">
        <f>SUM(H361:H368)</f>
        <v>30317.09</v>
      </c>
    </row>
    <row r="371" spans="1:8" ht="24" customHeight="1" x14ac:dyDescent="0.35">
      <c r="A371" s="46" t="s">
        <v>844</v>
      </c>
      <c r="B371" s="118" t="s">
        <v>845</v>
      </c>
      <c r="C371" s="118"/>
      <c r="D371" s="118"/>
      <c r="E371" s="118"/>
      <c r="F371" s="118"/>
      <c r="G371" s="118"/>
      <c r="H371" s="47">
        <f>SUMIF($A:$A,"* TOTAL",$H:$H)</f>
        <v>1792618.86</v>
      </c>
    </row>
  </sheetData>
  <mergeCells count="20">
    <mergeCell ref="A337:H337"/>
    <mergeCell ref="B358:G358"/>
    <mergeCell ref="A360:H360"/>
    <mergeCell ref="B369:G369"/>
    <mergeCell ref="B371:G371"/>
    <mergeCell ref="B243:G243"/>
    <mergeCell ref="A245:H245"/>
    <mergeCell ref="B281:G281"/>
    <mergeCell ref="A283:H283"/>
    <mergeCell ref="B335:G335"/>
    <mergeCell ref="A31:H31"/>
    <mergeCell ref="B63:G63"/>
    <mergeCell ref="A65:H65"/>
    <mergeCell ref="B177:G177"/>
    <mergeCell ref="A179:H179"/>
    <mergeCell ref="A1:H1"/>
    <mergeCell ref="A2:H2"/>
    <mergeCell ref="A3:H3"/>
    <mergeCell ref="A6:H6"/>
    <mergeCell ref="B29:G2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
  <sheetViews>
    <sheetView showGridLines="0" topLeftCell="A13" zoomScaleNormal="100" workbookViewId="0">
      <selection sqref="A1:F1"/>
    </sheetView>
  </sheetViews>
  <sheetFormatPr baseColWidth="10" defaultColWidth="8.6328125" defaultRowHeight="14.5" x14ac:dyDescent="0.35"/>
  <cols>
    <col min="1" max="1" width="3" customWidth="1"/>
    <col min="2" max="2" width="52" customWidth="1"/>
    <col min="3" max="3" width="14" customWidth="1"/>
    <col min="4" max="4" width="20" customWidth="1"/>
    <col min="5" max="5" width="60" customWidth="1"/>
    <col min="6" max="6" width="3" customWidth="1"/>
  </cols>
  <sheetData>
    <row r="1" spans="1:6" ht="25.5" customHeight="1" x14ac:dyDescent="0.35">
      <c r="A1" s="6" t="s">
        <v>26</v>
      </c>
      <c r="B1" s="6"/>
      <c r="C1" s="6"/>
      <c r="D1" s="6"/>
      <c r="E1" s="6"/>
      <c r="F1" s="6"/>
    </row>
    <row r="2" spans="1:6" ht="19.5" customHeight="1" x14ac:dyDescent="0.35">
      <c r="A2" s="5" t="s">
        <v>846</v>
      </c>
      <c r="B2" s="5"/>
      <c r="C2" s="5"/>
      <c r="D2" s="5"/>
      <c r="E2" s="5"/>
      <c r="F2" s="5"/>
    </row>
    <row r="4" spans="1:6" ht="24" customHeight="1" x14ac:dyDescent="0.35">
      <c r="B4" s="33" t="s">
        <v>847</v>
      </c>
      <c r="C4" s="33" t="s">
        <v>848</v>
      </c>
      <c r="D4" s="33" t="s">
        <v>849</v>
      </c>
      <c r="E4" s="33" t="s">
        <v>850</v>
      </c>
    </row>
    <row r="5" spans="1:6" x14ac:dyDescent="0.35">
      <c r="B5" s="48" t="s">
        <v>851</v>
      </c>
      <c r="C5" s="20"/>
      <c r="D5" s="49">
        <f>SUMIF('5. DESGLOSE PARTIDAS'!$A:$A,"A TOTAL",'5. DESGLOSE PARTIDAS'!$H:$H)</f>
        <v>266800</v>
      </c>
      <c r="E5" s="50" t="s">
        <v>852</v>
      </c>
    </row>
    <row r="6" spans="1:6" x14ac:dyDescent="0.35">
      <c r="B6" s="48" t="s">
        <v>853</v>
      </c>
      <c r="C6" s="20"/>
      <c r="D6" s="49">
        <f>SUMIF('5. DESGLOSE PARTIDAS'!$A:$A,"B TOTAL",'5. DESGLOSE PARTIDAS'!$H:$H)</f>
        <v>606786.7699999999</v>
      </c>
      <c r="E6" s="50" t="s">
        <v>852</v>
      </c>
    </row>
    <row r="7" spans="1:6" x14ac:dyDescent="0.35">
      <c r="B7" s="48" t="s">
        <v>854</v>
      </c>
      <c r="C7" s="20"/>
      <c r="D7" s="49">
        <f>SUMIF('5. DESGLOSE PARTIDAS'!$A:$A,"C TOTAL",'5. DESGLOSE PARTIDAS'!$H:$H)</f>
        <v>365367.00000000006</v>
      </c>
      <c r="E7" s="50" t="s">
        <v>852</v>
      </c>
    </row>
    <row r="8" spans="1:6" x14ac:dyDescent="0.35">
      <c r="B8" s="48" t="s">
        <v>855</v>
      </c>
      <c r="C8" s="20"/>
      <c r="D8" s="49">
        <f>SUMIF('5. DESGLOSE PARTIDAS'!$A:$A,"D TOTAL",'5. DESGLOSE PARTIDAS'!$H:$H)</f>
        <v>275378.78000000003</v>
      </c>
      <c r="E8" s="50" t="s">
        <v>852</v>
      </c>
    </row>
    <row r="9" spans="1:6" x14ac:dyDescent="0.35">
      <c r="B9" s="48" t="s">
        <v>856</v>
      </c>
      <c r="C9" s="20"/>
      <c r="D9" s="49">
        <f>SUMIF('5. DESGLOSE PARTIDAS'!$A:$A,"E TOTAL",'5. DESGLOSE PARTIDAS'!$H:$H)</f>
        <v>62252.990000000005</v>
      </c>
      <c r="E9" s="50" t="s">
        <v>852</v>
      </c>
    </row>
    <row r="10" spans="1:6" x14ac:dyDescent="0.35">
      <c r="B10" s="48" t="s">
        <v>857</v>
      </c>
      <c r="C10" s="20"/>
      <c r="D10" s="49">
        <f>SUMIF('5. DESGLOSE PARTIDAS'!$A:$A,"F TOTAL",'5. DESGLOSE PARTIDAS'!$H:$H)</f>
        <v>150728.23999999996</v>
      </c>
      <c r="E10" s="50" t="s">
        <v>852</v>
      </c>
    </row>
    <row r="11" spans="1:6" x14ac:dyDescent="0.35">
      <c r="B11" s="48" t="s">
        <v>858</v>
      </c>
      <c r="C11" s="20"/>
      <c r="D11" s="49">
        <f>SUMIF('5. DESGLOSE PARTIDAS'!$A:$A,"G TOTAL",'5. DESGLOSE PARTIDAS'!$H:$H)</f>
        <v>34987.99</v>
      </c>
      <c r="E11" s="50" t="s">
        <v>852</v>
      </c>
    </row>
    <row r="12" spans="1:6" x14ac:dyDescent="0.35">
      <c r="B12" s="48" t="s">
        <v>859</v>
      </c>
      <c r="C12" s="20"/>
      <c r="D12" s="49">
        <f>SUMIF('5. DESGLOSE PARTIDAS'!$A:$A,"H TOTAL",'5. DESGLOSE PARTIDAS'!$H:$H)</f>
        <v>30317.09</v>
      </c>
      <c r="E12" s="50" t="s">
        <v>852</v>
      </c>
    </row>
    <row r="13" spans="1:6" ht="21.75" customHeight="1" x14ac:dyDescent="0.35">
      <c r="B13" s="51" t="s">
        <v>860</v>
      </c>
      <c r="C13" s="52"/>
      <c r="D13" s="53">
        <f>SUM(D5:D12)</f>
        <v>1792618.86</v>
      </c>
      <c r="E13" s="54" t="s">
        <v>861</v>
      </c>
    </row>
    <row r="14" spans="1:6" ht="21.75" customHeight="1" x14ac:dyDescent="0.35">
      <c r="B14" s="55" t="s">
        <v>862</v>
      </c>
      <c r="C14" s="56">
        <v>0.08</v>
      </c>
      <c r="D14" s="57">
        <f>ROUND(D13*C14,2)</f>
        <v>143409.51</v>
      </c>
      <c r="E14" s="58" t="s">
        <v>863</v>
      </c>
    </row>
    <row r="15" spans="1:6" ht="21.75" customHeight="1" x14ac:dyDescent="0.35">
      <c r="B15" s="27" t="s">
        <v>864</v>
      </c>
      <c r="C15" s="59"/>
      <c r="D15" s="60">
        <f>D13+D14</f>
        <v>1936028.37</v>
      </c>
      <c r="E15" s="61"/>
    </row>
    <row r="16" spans="1:6" ht="21.75" customHeight="1" x14ac:dyDescent="0.35">
      <c r="B16" s="55" t="s">
        <v>865</v>
      </c>
      <c r="C16" s="56">
        <v>0.1</v>
      </c>
      <c r="D16" s="57">
        <f>ROUND(D15*C16,2)</f>
        <v>193602.84</v>
      </c>
      <c r="E16" s="58" t="s">
        <v>866</v>
      </c>
    </row>
    <row r="17" spans="2:5" ht="21.75" customHeight="1" x14ac:dyDescent="0.35">
      <c r="B17" s="27" t="s">
        <v>867</v>
      </c>
      <c r="C17" s="59"/>
      <c r="D17" s="60">
        <f>D15+D16</f>
        <v>2129631.21</v>
      </c>
      <c r="E17" s="61"/>
    </row>
    <row r="18" spans="2:5" ht="21.75" customHeight="1" x14ac:dyDescent="0.35">
      <c r="B18" s="55" t="s">
        <v>868</v>
      </c>
      <c r="C18" s="56">
        <v>0.03</v>
      </c>
      <c r="D18" s="57">
        <f>ROUND(D17*C18,2)</f>
        <v>63888.94</v>
      </c>
      <c r="E18" s="58" t="s">
        <v>869</v>
      </c>
    </row>
    <row r="19" spans="2:5" ht="25.5" customHeight="1" x14ac:dyDescent="0.35">
      <c r="B19" s="62" t="s">
        <v>870</v>
      </c>
      <c r="C19" s="26"/>
      <c r="D19" s="63">
        <f>D17+D18</f>
        <v>2193520.15</v>
      </c>
      <c r="E19" s="64" t="s">
        <v>871</v>
      </c>
    </row>
    <row r="20" spans="2:5" ht="21.75" customHeight="1" x14ac:dyDescent="0.35">
      <c r="B20" s="55" t="s">
        <v>872</v>
      </c>
      <c r="C20" s="56">
        <v>0.08</v>
      </c>
      <c r="D20" s="57">
        <f>ROUND(D19*C20,2)</f>
        <v>175481.61</v>
      </c>
      <c r="E20" s="58" t="s">
        <v>873</v>
      </c>
    </row>
    <row r="21" spans="2:5" ht="25.5" customHeight="1" x14ac:dyDescent="0.35">
      <c r="B21" s="65" t="s">
        <v>874</v>
      </c>
      <c r="C21" s="66"/>
      <c r="D21" s="47">
        <f>D19+D20</f>
        <v>2369001.7599999998</v>
      </c>
      <c r="E21" s="67"/>
    </row>
    <row r="23" spans="2:5" x14ac:dyDescent="0.35">
      <c r="B23" s="116" t="s">
        <v>875</v>
      </c>
      <c r="C23" s="116"/>
      <c r="D23" s="116"/>
      <c r="E23" s="116"/>
    </row>
    <row r="24" spans="2:5" x14ac:dyDescent="0.35">
      <c r="B24" s="48" t="s">
        <v>876</v>
      </c>
      <c r="D24" s="49">
        <f>SUMPRODUCT('5. DESGLOSE PARTIDAS'!$D$6:$D$371,'5. DESGLOSE PARTIDAS'!$E$6:$E$371)</f>
        <v>963504.39227939968</v>
      </c>
      <c r="E24" s="50" t="s">
        <v>877</v>
      </c>
    </row>
    <row r="25" spans="2:5" x14ac:dyDescent="0.35">
      <c r="B25" s="48" t="s">
        <v>878</v>
      </c>
      <c r="D25" s="49">
        <f>SUMPRODUCT('5. DESGLOSE PARTIDAS'!$D$6:$D$371,'5. DESGLOSE PARTIDAS'!$F$6:$F$371)</f>
        <v>829114.4822392998</v>
      </c>
      <c r="E25" s="50" t="s">
        <v>879</v>
      </c>
    </row>
  </sheetData>
  <mergeCells count="3">
    <mergeCell ref="A1:F1"/>
    <mergeCell ref="A2:F2"/>
    <mergeCell ref="B23:E2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showGridLines="0" zoomScaleNormal="100" workbookViewId="0">
      <selection sqref="A1:F1"/>
    </sheetView>
  </sheetViews>
  <sheetFormatPr baseColWidth="10" defaultColWidth="8.6328125" defaultRowHeight="14.5" x14ac:dyDescent="0.35"/>
  <cols>
    <col min="1" max="1" width="3" customWidth="1"/>
    <col min="2" max="2" width="46" customWidth="1"/>
    <col min="3" max="3" width="14" customWidth="1"/>
    <col min="4" max="4" width="18" customWidth="1"/>
    <col min="5" max="5" width="46" customWidth="1"/>
    <col min="6" max="6" width="3" customWidth="1"/>
  </cols>
  <sheetData>
    <row r="1" spans="1:6" ht="25.5" customHeight="1" x14ac:dyDescent="0.35">
      <c r="A1" s="6" t="s">
        <v>26</v>
      </c>
      <c r="B1" s="6"/>
      <c r="C1" s="6"/>
      <c r="D1" s="6"/>
      <c r="E1" s="6"/>
      <c r="F1" s="6"/>
    </row>
    <row r="2" spans="1:6" ht="19.5" customHeight="1" x14ac:dyDescent="0.35">
      <c r="A2" s="5" t="s">
        <v>880</v>
      </c>
      <c r="B2" s="5"/>
      <c r="C2" s="5"/>
      <c r="D2" s="5"/>
      <c r="E2" s="5"/>
      <c r="F2" s="5"/>
    </row>
    <row r="4" spans="1:6" x14ac:dyDescent="0.35">
      <c r="B4" s="2" t="s">
        <v>881</v>
      </c>
      <c r="C4" s="2"/>
      <c r="D4" s="2"/>
      <c r="E4" s="2"/>
    </row>
    <row r="5" spans="1:6" x14ac:dyDescent="0.35">
      <c r="B5" s="33" t="s">
        <v>882</v>
      </c>
      <c r="C5" s="33" t="s">
        <v>883</v>
      </c>
      <c r="D5" s="33" t="s">
        <v>849</v>
      </c>
      <c r="E5" s="33" t="s">
        <v>884</v>
      </c>
    </row>
    <row r="6" spans="1:6" ht="24" customHeight="1" x14ac:dyDescent="0.35">
      <c r="B6" s="19" t="s">
        <v>885</v>
      </c>
      <c r="C6" s="68">
        <v>0.3</v>
      </c>
      <c r="D6" s="38">
        <f>ROUND('6. RESUMEN DE COSTOS'!$D$21*C6,2)</f>
        <v>710700.53</v>
      </c>
      <c r="E6" s="58" t="s">
        <v>886</v>
      </c>
    </row>
    <row r="7" spans="1:6" ht="24" customHeight="1" x14ac:dyDescent="0.35">
      <c r="B7" s="19" t="s">
        <v>887</v>
      </c>
      <c r="C7" s="68">
        <v>0.2</v>
      </c>
      <c r="D7" s="38">
        <f>ROUND('6. RESUMEN DE COSTOS'!$D$21*C7,2)</f>
        <v>473800.35</v>
      </c>
      <c r="E7" s="58" t="s">
        <v>888</v>
      </c>
    </row>
    <row r="8" spans="1:6" ht="24" customHeight="1" x14ac:dyDescent="0.35">
      <c r="B8" s="19" t="s">
        <v>889</v>
      </c>
      <c r="C8" s="68">
        <v>0.25</v>
      </c>
      <c r="D8" s="38">
        <f>ROUND('6. RESUMEN DE COSTOS'!$D$21*C8,2)</f>
        <v>592250.43999999994</v>
      </c>
      <c r="E8" s="58" t="s">
        <v>890</v>
      </c>
    </row>
    <row r="9" spans="1:6" ht="24" customHeight="1" x14ac:dyDescent="0.35">
      <c r="B9" s="19" t="s">
        <v>891</v>
      </c>
      <c r="C9" s="68">
        <v>0.15</v>
      </c>
      <c r="D9" s="38">
        <f>ROUND('6. RESUMEN DE COSTOS'!$D$21*C9,2)</f>
        <v>355350.26</v>
      </c>
      <c r="E9" s="58" t="s">
        <v>892</v>
      </c>
    </row>
    <row r="10" spans="1:6" ht="24" customHeight="1" x14ac:dyDescent="0.35">
      <c r="B10" s="19" t="s">
        <v>893</v>
      </c>
      <c r="C10" s="68">
        <v>0.1</v>
      </c>
      <c r="D10" s="38">
        <f>ROUND('6. RESUMEN DE COSTOS'!$D$21*C10,2)</f>
        <v>236900.18</v>
      </c>
      <c r="E10" s="58" t="s">
        <v>894</v>
      </c>
    </row>
    <row r="11" spans="1:6" x14ac:dyDescent="0.35">
      <c r="B11" s="69" t="s">
        <v>895</v>
      </c>
      <c r="C11" s="26">
        <f>SUM(C6:C10)</f>
        <v>1</v>
      </c>
      <c r="D11" s="45">
        <f>SUM(D6:D10)</f>
        <v>2369001.7600000002</v>
      </c>
      <c r="E11" s="70"/>
    </row>
    <row r="13" spans="1:6" ht="19.5" customHeight="1" x14ac:dyDescent="0.35">
      <c r="B13" s="2" t="s">
        <v>896</v>
      </c>
      <c r="C13" s="2"/>
      <c r="D13" s="2"/>
      <c r="E13" s="2"/>
    </row>
    <row r="14" spans="1:6" ht="25.5" customHeight="1" x14ac:dyDescent="0.35">
      <c r="B14" s="4" t="s">
        <v>897</v>
      </c>
      <c r="C14" s="4"/>
      <c r="D14" s="4"/>
      <c r="E14" s="4"/>
    </row>
    <row r="15" spans="1:6" ht="25.5" customHeight="1" x14ac:dyDescent="0.35">
      <c r="B15" s="4" t="s">
        <v>898</v>
      </c>
      <c r="C15" s="4"/>
      <c r="D15" s="4"/>
      <c r="E15" s="4"/>
    </row>
    <row r="16" spans="1:6" ht="25.5" customHeight="1" x14ac:dyDescent="0.35">
      <c r="B16" s="4" t="s">
        <v>899</v>
      </c>
      <c r="C16" s="4"/>
      <c r="D16" s="4"/>
      <c r="E16" s="4"/>
    </row>
    <row r="17" spans="2:5" ht="25.5" customHeight="1" x14ac:dyDescent="0.35">
      <c r="B17" s="4" t="s">
        <v>900</v>
      </c>
      <c r="C17" s="4"/>
      <c r="D17" s="4"/>
      <c r="E17" s="4"/>
    </row>
    <row r="19" spans="2:5" ht="19.5" customHeight="1" x14ac:dyDescent="0.35">
      <c r="B19" s="2" t="s">
        <v>901</v>
      </c>
      <c r="C19" s="2"/>
      <c r="D19" s="2"/>
      <c r="E19" s="2"/>
    </row>
    <row r="20" spans="2:5" ht="25.5" customHeight="1" x14ac:dyDescent="0.35">
      <c r="B20" s="4" t="s">
        <v>902</v>
      </c>
      <c r="C20" s="4"/>
      <c r="D20" s="4"/>
      <c r="E20" s="4"/>
    </row>
    <row r="21" spans="2:5" ht="15" customHeight="1" x14ac:dyDescent="0.35">
      <c r="B21" s="4" t="s">
        <v>903</v>
      </c>
      <c r="C21" s="4"/>
      <c r="D21" s="4"/>
      <c r="E21" s="4"/>
    </row>
    <row r="22" spans="2:5" ht="25.5" customHeight="1" x14ac:dyDescent="0.35">
      <c r="B22" s="4" t="s">
        <v>904</v>
      </c>
      <c r="C22" s="4"/>
      <c r="D22" s="4"/>
      <c r="E22" s="4"/>
    </row>
    <row r="23" spans="2:5" ht="25.5" customHeight="1" x14ac:dyDescent="0.35">
      <c r="B23" s="4" t="s">
        <v>905</v>
      </c>
      <c r="C23" s="4"/>
      <c r="D23" s="4"/>
      <c r="E23" s="4"/>
    </row>
    <row r="24" spans="2:5" ht="25.5" customHeight="1" x14ac:dyDescent="0.35">
      <c r="B24" s="4" t="s">
        <v>906</v>
      </c>
      <c r="C24" s="4"/>
      <c r="D24" s="4"/>
      <c r="E24" s="4"/>
    </row>
    <row r="26" spans="2:5" ht="19.5" customHeight="1" x14ac:dyDescent="0.35">
      <c r="B26" s="2" t="s">
        <v>907</v>
      </c>
      <c r="C26" s="2"/>
      <c r="D26" s="2"/>
      <c r="E26" s="2"/>
    </row>
    <row r="27" spans="2:5" ht="15" customHeight="1" x14ac:dyDescent="0.35">
      <c r="B27" s="4" t="s">
        <v>908</v>
      </c>
      <c r="C27" s="4"/>
      <c r="D27" s="4"/>
      <c r="E27" s="4"/>
    </row>
    <row r="28" spans="2:5" ht="25.5" customHeight="1" x14ac:dyDescent="0.35">
      <c r="B28" s="4" t="s">
        <v>909</v>
      </c>
      <c r="C28" s="4"/>
      <c r="D28" s="4"/>
      <c r="E28" s="4"/>
    </row>
    <row r="29" spans="2:5" ht="25.5" customHeight="1" x14ac:dyDescent="0.35">
      <c r="B29" s="4" t="s">
        <v>910</v>
      </c>
      <c r="C29" s="4"/>
      <c r="D29" s="4"/>
      <c r="E29" s="4"/>
    </row>
    <row r="30" spans="2:5" ht="25.5" customHeight="1" x14ac:dyDescent="0.35">
      <c r="B30" s="4" t="s">
        <v>911</v>
      </c>
      <c r="C30" s="4"/>
      <c r="D30" s="4"/>
      <c r="E30" s="4"/>
    </row>
    <row r="31" spans="2:5" ht="25.5" customHeight="1" x14ac:dyDescent="0.35">
      <c r="B31" s="4" t="s">
        <v>912</v>
      </c>
      <c r="C31" s="4"/>
      <c r="D31" s="4"/>
      <c r="E31" s="4"/>
    </row>
    <row r="33" spans="2:5" ht="19.5" customHeight="1" x14ac:dyDescent="0.35">
      <c r="B33" s="2" t="s">
        <v>913</v>
      </c>
      <c r="C33" s="2"/>
      <c r="D33" s="2"/>
      <c r="E33" s="2"/>
    </row>
    <row r="34" spans="2:5" ht="25.5" customHeight="1" x14ac:dyDescent="0.35">
      <c r="B34" s="4" t="s">
        <v>914</v>
      </c>
      <c r="C34" s="4"/>
      <c r="D34" s="4"/>
      <c r="E34" s="4"/>
    </row>
    <row r="35" spans="2:5" ht="25.5" customHeight="1" x14ac:dyDescent="0.35">
      <c r="B35" s="4" t="s">
        <v>915</v>
      </c>
      <c r="C35" s="4"/>
      <c r="D35" s="4"/>
      <c r="E35" s="4"/>
    </row>
    <row r="36" spans="2:5" ht="25.5" customHeight="1" x14ac:dyDescent="0.35">
      <c r="B36" s="4" t="s">
        <v>916</v>
      </c>
      <c r="C36" s="4"/>
      <c r="D36" s="4"/>
      <c r="E36" s="4"/>
    </row>
    <row r="37" spans="2:5" ht="25.5" customHeight="1" x14ac:dyDescent="0.35">
      <c r="B37" s="4" t="s">
        <v>917</v>
      </c>
      <c r="C37" s="4"/>
      <c r="D37" s="4"/>
      <c r="E37" s="4"/>
    </row>
    <row r="38" spans="2:5" ht="25.5" customHeight="1" x14ac:dyDescent="0.35">
      <c r="B38" s="4" t="s">
        <v>918</v>
      </c>
      <c r="C38" s="4"/>
      <c r="D38" s="4"/>
      <c r="E38" s="4"/>
    </row>
    <row r="40" spans="2:5" ht="19.5" customHeight="1" x14ac:dyDescent="0.35">
      <c r="B40" s="2" t="s">
        <v>919</v>
      </c>
      <c r="C40" s="2"/>
      <c r="D40" s="2"/>
      <c r="E40" s="2"/>
    </row>
    <row r="41" spans="2:5" ht="25.5" customHeight="1" x14ac:dyDescent="0.35">
      <c r="B41" s="4" t="s">
        <v>920</v>
      </c>
      <c r="C41" s="4"/>
      <c r="D41" s="4"/>
      <c r="E41" s="4"/>
    </row>
    <row r="42" spans="2:5" ht="25.5" customHeight="1" x14ac:dyDescent="0.35">
      <c r="B42" s="4" t="s">
        <v>921</v>
      </c>
      <c r="C42" s="4"/>
      <c r="D42" s="4"/>
      <c r="E42" s="4"/>
    </row>
    <row r="43" spans="2:5" ht="25.5" customHeight="1" x14ac:dyDescent="0.35">
      <c r="B43" s="4" t="s">
        <v>922</v>
      </c>
      <c r="C43" s="4"/>
      <c r="D43" s="4"/>
      <c r="E43" s="4"/>
    </row>
    <row r="44" spans="2:5" ht="25.5" customHeight="1" x14ac:dyDescent="0.35">
      <c r="B44" s="4" t="s">
        <v>923</v>
      </c>
      <c r="C44" s="4"/>
      <c r="D44" s="4"/>
      <c r="E44" s="4"/>
    </row>
    <row r="46" spans="2:5" x14ac:dyDescent="0.35">
      <c r="B46" s="119" t="s">
        <v>924</v>
      </c>
      <c r="C46" s="119"/>
      <c r="D46" s="119"/>
      <c r="E46" s="119"/>
    </row>
    <row r="48" spans="2:5" x14ac:dyDescent="0.35">
      <c r="B48" s="120" t="s">
        <v>23</v>
      </c>
      <c r="C48" s="120"/>
      <c r="D48" s="120"/>
      <c r="E48" s="120"/>
    </row>
    <row r="49" spans="2:5" x14ac:dyDescent="0.35">
      <c r="B49" s="121" t="s">
        <v>925</v>
      </c>
      <c r="C49" s="121"/>
      <c r="D49" s="121"/>
      <c r="E49" s="121"/>
    </row>
  </sheetData>
  <mergeCells count="34">
    <mergeCell ref="B44:E44"/>
    <mergeCell ref="B46:E46"/>
    <mergeCell ref="B48:E48"/>
    <mergeCell ref="B49:E49"/>
    <mergeCell ref="B38:E38"/>
    <mergeCell ref="B40:E40"/>
    <mergeCell ref="B41:E41"/>
    <mergeCell ref="B42:E42"/>
    <mergeCell ref="B43:E43"/>
    <mergeCell ref="B33:E33"/>
    <mergeCell ref="B34:E34"/>
    <mergeCell ref="B35:E35"/>
    <mergeCell ref="B36:E36"/>
    <mergeCell ref="B37:E37"/>
    <mergeCell ref="B27:E27"/>
    <mergeCell ref="B28:E28"/>
    <mergeCell ref="B29:E29"/>
    <mergeCell ref="B30:E30"/>
    <mergeCell ref="B31:E31"/>
    <mergeCell ref="B21:E21"/>
    <mergeCell ref="B22:E22"/>
    <mergeCell ref="B23:E23"/>
    <mergeCell ref="B24:E24"/>
    <mergeCell ref="B26:E26"/>
    <mergeCell ref="B15:E15"/>
    <mergeCell ref="B16:E16"/>
    <mergeCell ref="B17:E17"/>
    <mergeCell ref="B19:E19"/>
    <mergeCell ref="B20:E20"/>
    <mergeCell ref="A1:F1"/>
    <mergeCell ref="A2:F2"/>
    <mergeCell ref="B4:E4"/>
    <mergeCell ref="B13:E13"/>
    <mergeCell ref="B14:E1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53"/>
  <sheetViews>
    <sheetView showGridLines="0" zoomScaleNormal="100" workbookViewId="0">
      <pane xSplit="4" ySplit="6" topLeftCell="E7" activePane="bottomRight" state="frozen"/>
      <selection pane="topRight" activeCell="E1" sqref="E1"/>
      <selection pane="bottomLeft" activeCell="A7" sqref="A7"/>
      <selection pane="bottomRight" sqref="A1:AB1"/>
    </sheetView>
  </sheetViews>
  <sheetFormatPr baseColWidth="10" defaultColWidth="8.6328125" defaultRowHeight="14.5" x14ac:dyDescent="0.35"/>
  <cols>
    <col min="1" max="1" width="3" customWidth="1"/>
    <col min="2" max="2" width="5" customWidth="1"/>
    <col min="3" max="3" width="56" customWidth="1"/>
    <col min="4" max="4" width="9" customWidth="1"/>
    <col min="5" max="28" width="3.6328125" customWidth="1"/>
  </cols>
  <sheetData>
    <row r="1" spans="1:28" ht="25.5" customHeight="1" x14ac:dyDescent="0.35">
      <c r="A1" s="6" t="s">
        <v>26</v>
      </c>
      <c r="B1" s="6"/>
      <c r="C1" s="6"/>
      <c r="D1" s="6"/>
      <c r="E1" s="6"/>
      <c r="F1" s="6"/>
      <c r="G1" s="6"/>
      <c r="H1" s="6"/>
      <c r="I1" s="6"/>
      <c r="J1" s="6"/>
      <c r="K1" s="6"/>
      <c r="L1" s="6"/>
      <c r="M1" s="6"/>
      <c r="N1" s="6"/>
      <c r="O1" s="6"/>
      <c r="P1" s="6"/>
      <c r="Q1" s="6"/>
      <c r="R1" s="6"/>
      <c r="S1" s="6"/>
      <c r="T1" s="6"/>
      <c r="U1" s="6"/>
      <c r="V1" s="6"/>
      <c r="W1" s="6"/>
      <c r="X1" s="6"/>
      <c r="Y1" s="6"/>
      <c r="Z1" s="6"/>
      <c r="AA1" s="6"/>
      <c r="AB1" s="6"/>
    </row>
    <row r="2" spans="1:28" ht="19.5" customHeight="1" x14ac:dyDescent="0.35">
      <c r="A2" s="5" t="s">
        <v>926</v>
      </c>
      <c r="B2" s="5"/>
      <c r="C2" s="5"/>
      <c r="D2" s="5"/>
      <c r="E2" s="5"/>
      <c r="F2" s="5"/>
      <c r="G2" s="5"/>
      <c r="H2" s="5"/>
      <c r="I2" s="5"/>
      <c r="J2" s="5"/>
      <c r="K2" s="5"/>
      <c r="L2" s="5"/>
      <c r="M2" s="5"/>
      <c r="N2" s="5"/>
      <c r="O2" s="5"/>
      <c r="P2" s="5"/>
      <c r="Q2" s="5"/>
      <c r="R2" s="5"/>
      <c r="S2" s="5"/>
      <c r="T2" s="5"/>
      <c r="U2" s="5"/>
      <c r="V2" s="5"/>
      <c r="W2" s="5"/>
      <c r="X2" s="5"/>
      <c r="Y2" s="5"/>
      <c r="Z2" s="5"/>
      <c r="AA2" s="5"/>
      <c r="AB2" s="5"/>
    </row>
    <row r="4" spans="1:28" x14ac:dyDescent="0.35">
      <c r="B4" s="122" t="s">
        <v>927</v>
      </c>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row>
    <row r="6" spans="1:28" ht="21.75" customHeight="1" x14ac:dyDescent="0.35">
      <c r="B6" s="71" t="s">
        <v>928</v>
      </c>
      <c r="C6" s="72" t="s">
        <v>929</v>
      </c>
      <c r="D6" s="73" t="s">
        <v>930</v>
      </c>
      <c r="E6" s="74">
        <v>1</v>
      </c>
      <c r="F6" s="74">
        <v>2</v>
      </c>
      <c r="G6" s="74">
        <v>3</v>
      </c>
      <c r="H6" s="74">
        <v>4</v>
      </c>
      <c r="I6" s="74">
        <v>5</v>
      </c>
      <c r="J6" s="74">
        <v>6</v>
      </c>
      <c r="K6" s="74">
        <v>7</v>
      </c>
      <c r="L6" s="74">
        <v>8</v>
      </c>
      <c r="M6" s="74">
        <v>9</v>
      </c>
      <c r="N6" s="74">
        <v>10</v>
      </c>
      <c r="O6" s="74">
        <v>11</v>
      </c>
      <c r="P6" s="74">
        <v>12</v>
      </c>
      <c r="Q6" s="74">
        <v>13</v>
      </c>
      <c r="R6" s="74">
        <v>14</v>
      </c>
      <c r="S6" s="74">
        <v>15</v>
      </c>
      <c r="T6" s="74">
        <v>16</v>
      </c>
      <c r="U6" s="74">
        <v>17</v>
      </c>
      <c r="V6" s="74">
        <v>18</v>
      </c>
      <c r="W6" s="74">
        <v>19</v>
      </c>
      <c r="X6" s="74">
        <v>20</v>
      </c>
      <c r="Y6" s="74">
        <v>21</v>
      </c>
      <c r="Z6" s="74">
        <v>22</v>
      </c>
      <c r="AA6" s="74">
        <v>23</v>
      </c>
      <c r="AB6" s="74">
        <v>24</v>
      </c>
    </row>
    <row r="7" spans="1:28" ht="15.75" customHeight="1" x14ac:dyDescent="0.35">
      <c r="B7" s="75">
        <v>1</v>
      </c>
      <c r="C7" s="76" t="s">
        <v>931</v>
      </c>
      <c r="D7" s="77" t="s">
        <v>932</v>
      </c>
      <c r="E7" s="78"/>
      <c r="F7" s="78"/>
      <c r="G7" s="79"/>
      <c r="H7" s="79"/>
      <c r="I7" s="79"/>
      <c r="J7" s="79"/>
      <c r="K7" s="79"/>
      <c r="L7" s="79"/>
      <c r="M7" s="79"/>
      <c r="N7" s="79"/>
      <c r="O7" s="79"/>
      <c r="P7" s="79"/>
      <c r="Q7" s="79"/>
      <c r="R7" s="79"/>
      <c r="S7" s="79"/>
      <c r="T7" s="79"/>
      <c r="U7" s="79"/>
      <c r="V7" s="79"/>
      <c r="W7" s="79"/>
      <c r="X7" s="79"/>
      <c r="Y7" s="79"/>
      <c r="Z7" s="79"/>
      <c r="AA7" s="79"/>
      <c r="AB7" s="79"/>
    </row>
    <row r="8" spans="1:28" ht="15.75" customHeight="1" x14ac:dyDescent="0.35">
      <c r="B8" s="75">
        <v>2</v>
      </c>
      <c r="C8" s="76" t="s">
        <v>933</v>
      </c>
      <c r="D8" s="77" t="s">
        <v>932</v>
      </c>
      <c r="E8" s="78"/>
      <c r="F8" s="78"/>
      <c r="G8" s="78"/>
      <c r="H8" s="78"/>
      <c r="I8" s="78"/>
      <c r="J8" s="78"/>
      <c r="K8" s="78"/>
      <c r="L8" s="78"/>
      <c r="M8" s="78"/>
      <c r="N8" s="78"/>
      <c r="O8" s="79"/>
      <c r="P8" s="79"/>
      <c r="Q8" s="79"/>
      <c r="R8" s="79"/>
      <c r="S8" s="79"/>
      <c r="T8" s="79"/>
      <c r="U8" s="79"/>
      <c r="V8" s="79"/>
      <c r="W8" s="79"/>
      <c r="X8" s="79"/>
      <c r="Y8" s="79"/>
      <c r="Z8" s="79"/>
      <c r="AA8" s="79"/>
      <c r="AB8" s="79"/>
    </row>
    <row r="9" spans="1:28" ht="15.75" customHeight="1" x14ac:dyDescent="0.35">
      <c r="B9" s="75">
        <v>3</v>
      </c>
      <c r="C9" s="76" t="s">
        <v>934</v>
      </c>
      <c r="D9" s="77" t="s">
        <v>932</v>
      </c>
      <c r="E9" s="78"/>
      <c r="F9" s="78"/>
      <c r="G9" s="78"/>
      <c r="H9" s="78"/>
      <c r="I9" s="79"/>
      <c r="J9" s="79"/>
      <c r="K9" s="79"/>
      <c r="L9" s="79"/>
      <c r="M9" s="79"/>
      <c r="N9" s="79"/>
      <c r="O9" s="79"/>
      <c r="P9" s="79"/>
      <c r="Q9" s="79"/>
      <c r="R9" s="79"/>
      <c r="S9" s="79"/>
      <c r="T9" s="79"/>
      <c r="U9" s="79"/>
      <c r="V9" s="79"/>
      <c r="W9" s="79"/>
      <c r="X9" s="79"/>
      <c r="Y9" s="79"/>
      <c r="Z9" s="79"/>
      <c r="AA9" s="79"/>
      <c r="AB9" s="79"/>
    </row>
    <row r="10" spans="1:28" ht="15.75" customHeight="1" x14ac:dyDescent="0.35">
      <c r="B10" s="75">
        <v>4</v>
      </c>
      <c r="C10" s="76" t="s">
        <v>935</v>
      </c>
      <c r="D10" s="77" t="s">
        <v>932</v>
      </c>
      <c r="E10" s="79"/>
      <c r="F10" s="78"/>
      <c r="G10" s="78"/>
      <c r="H10" s="78"/>
      <c r="I10" s="79"/>
      <c r="J10" s="79"/>
      <c r="K10" s="79"/>
      <c r="L10" s="79"/>
      <c r="M10" s="79"/>
      <c r="N10" s="79"/>
      <c r="O10" s="79"/>
      <c r="P10" s="79"/>
      <c r="Q10" s="79"/>
      <c r="R10" s="79"/>
      <c r="S10" s="79"/>
      <c r="T10" s="79"/>
      <c r="U10" s="79"/>
      <c r="V10" s="79"/>
      <c r="W10" s="79"/>
      <c r="X10" s="79"/>
      <c r="Y10" s="79"/>
      <c r="Z10" s="79"/>
      <c r="AA10" s="79"/>
      <c r="AB10" s="79"/>
    </row>
    <row r="11" spans="1:28" ht="15.75" customHeight="1" x14ac:dyDescent="0.35">
      <c r="B11" s="75">
        <v>5</v>
      </c>
      <c r="C11" s="19" t="s">
        <v>936</v>
      </c>
      <c r="D11" s="80" t="s">
        <v>937</v>
      </c>
      <c r="E11" s="79"/>
      <c r="F11" s="79"/>
      <c r="G11" s="81"/>
      <c r="H11" s="81"/>
      <c r="I11" s="81"/>
      <c r="J11" s="79"/>
      <c r="K11" s="79"/>
      <c r="L11" s="79"/>
      <c r="M11" s="79"/>
      <c r="N11" s="79"/>
      <c r="O11" s="79"/>
      <c r="P11" s="79"/>
      <c r="Q11" s="79"/>
      <c r="R11" s="79"/>
      <c r="S11" s="79"/>
      <c r="T11" s="79"/>
      <c r="U11" s="79"/>
      <c r="V11" s="79"/>
      <c r="W11" s="79"/>
      <c r="X11" s="79"/>
      <c r="Y11" s="79"/>
      <c r="Z11" s="79"/>
      <c r="AA11" s="79"/>
      <c r="AB11" s="79"/>
    </row>
    <row r="12" spans="1:28" ht="15.75" customHeight="1" x14ac:dyDescent="0.35">
      <c r="B12" s="75">
        <v>6</v>
      </c>
      <c r="C12" s="19" t="s">
        <v>938</v>
      </c>
      <c r="D12" s="80" t="s">
        <v>937</v>
      </c>
      <c r="E12" s="79"/>
      <c r="F12" s="81"/>
      <c r="G12" s="81"/>
      <c r="H12" s="81"/>
      <c r="I12" s="81"/>
      <c r="J12" s="79"/>
      <c r="K12" s="79"/>
      <c r="L12" s="79"/>
      <c r="M12" s="79"/>
      <c r="N12" s="79"/>
      <c r="O12" s="79"/>
      <c r="P12" s="79"/>
      <c r="Q12" s="79"/>
      <c r="R12" s="79"/>
      <c r="S12" s="79"/>
      <c r="T12" s="79"/>
      <c r="U12" s="79"/>
      <c r="V12" s="79"/>
      <c r="W12" s="79"/>
      <c r="X12" s="79"/>
      <c r="Y12" s="79"/>
      <c r="Z12" s="79"/>
      <c r="AA12" s="79"/>
      <c r="AB12" s="79"/>
    </row>
    <row r="13" spans="1:28" ht="15.75" customHeight="1" x14ac:dyDescent="0.35">
      <c r="B13" s="75">
        <v>7</v>
      </c>
      <c r="C13" s="76" t="s">
        <v>939</v>
      </c>
      <c r="D13" s="77" t="s">
        <v>932</v>
      </c>
      <c r="E13" s="79"/>
      <c r="F13" s="79"/>
      <c r="G13" s="79"/>
      <c r="H13" s="79"/>
      <c r="I13" s="78"/>
      <c r="J13" s="78"/>
      <c r="K13" s="78"/>
      <c r="L13" s="79"/>
      <c r="M13" s="79"/>
      <c r="N13" s="79"/>
      <c r="O13" s="79"/>
      <c r="P13" s="79"/>
      <c r="Q13" s="79"/>
      <c r="R13" s="79"/>
      <c r="S13" s="79"/>
      <c r="T13" s="79"/>
      <c r="U13" s="79"/>
      <c r="V13" s="79"/>
      <c r="W13" s="79"/>
      <c r="X13" s="79"/>
      <c r="Y13" s="79"/>
      <c r="Z13" s="79"/>
      <c r="AA13" s="79"/>
      <c r="AB13" s="79"/>
    </row>
    <row r="14" spans="1:28" ht="15.75" customHeight="1" x14ac:dyDescent="0.35">
      <c r="B14" s="75">
        <v>8</v>
      </c>
      <c r="C14" s="19" t="s">
        <v>940</v>
      </c>
      <c r="D14" s="80" t="s">
        <v>937</v>
      </c>
      <c r="E14" s="79"/>
      <c r="F14" s="79"/>
      <c r="G14" s="79"/>
      <c r="H14" s="79"/>
      <c r="I14" s="81"/>
      <c r="J14" s="81"/>
      <c r="K14" s="81"/>
      <c r="L14" s="79"/>
      <c r="M14" s="79"/>
      <c r="N14" s="79"/>
      <c r="O14" s="79"/>
      <c r="P14" s="79"/>
      <c r="Q14" s="79"/>
      <c r="R14" s="79"/>
      <c r="S14" s="79"/>
      <c r="T14" s="79"/>
      <c r="U14" s="79"/>
      <c r="V14" s="79"/>
      <c r="W14" s="79"/>
      <c r="X14" s="79"/>
      <c r="Y14" s="79"/>
      <c r="Z14" s="79"/>
      <c r="AA14" s="79"/>
      <c r="AB14" s="79"/>
    </row>
    <row r="15" spans="1:28" ht="15.75" customHeight="1" x14ac:dyDescent="0.35">
      <c r="B15" s="75">
        <v>9</v>
      </c>
      <c r="C15" s="76" t="s">
        <v>941</v>
      </c>
      <c r="D15" s="77" t="s">
        <v>932</v>
      </c>
      <c r="E15" s="79"/>
      <c r="F15" s="79"/>
      <c r="G15" s="79"/>
      <c r="H15" s="79"/>
      <c r="I15" s="79"/>
      <c r="J15" s="79"/>
      <c r="K15" s="78"/>
      <c r="L15" s="78"/>
      <c r="M15" s="78"/>
      <c r="N15" s="78"/>
      <c r="O15" s="78"/>
      <c r="P15" s="78"/>
      <c r="Q15" s="79"/>
      <c r="R15" s="79"/>
      <c r="S15" s="79"/>
      <c r="T15" s="79"/>
      <c r="U15" s="79"/>
      <c r="V15" s="79"/>
      <c r="W15" s="79"/>
      <c r="X15" s="79"/>
      <c r="Y15" s="79"/>
      <c r="Z15" s="79"/>
      <c r="AA15" s="79"/>
      <c r="AB15" s="79"/>
    </row>
    <row r="16" spans="1:28" ht="15.75" customHeight="1" x14ac:dyDescent="0.35">
      <c r="B16" s="75">
        <v>10</v>
      </c>
      <c r="C16" s="19" t="s">
        <v>942</v>
      </c>
      <c r="D16" s="80" t="s">
        <v>937</v>
      </c>
      <c r="E16" s="79"/>
      <c r="F16" s="79"/>
      <c r="G16" s="79"/>
      <c r="H16" s="79"/>
      <c r="I16" s="79"/>
      <c r="J16" s="79"/>
      <c r="K16" s="79"/>
      <c r="L16" s="81"/>
      <c r="M16" s="81"/>
      <c r="N16" s="81"/>
      <c r="O16" s="81"/>
      <c r="P16" s="81"/>
      <c r="Q16" s="79"/>
      <c r="R16" s="79"/>
      <c r="S16" s="79"/>
      <c r="T16" s="79"/>
      <c r="U16" s="79"/>
      <c r="V16" s="79"/>
      <c r="W16" s="79"/>
      <c r="X16" s="79"/>
      <c r="Y16" s="79"/>
      <c r="Z16" s="79"/>
      <c r="AA16" s="79"/>
      <c r="AB16" s="79"/>
    </row>
    <row r="17" spans="2:28" ht="15.75" customHeight="1" x14ac:dyDescent="0.35">
      <c r="B17" s="75">
        <v>11</v>
      </c>
      <c r="C17" s="19" t="s">
        <v>943</v>
      </c>
      <c r="D17" s="80" t="s">
        <v>937</v>
      </c>
      <c r="E17" s="79"/>
      <c r="F17" s="79"/>
      <c r="G17" s="79"/>
      <c r="H17" s="79"/>
      <c r="I17" s="79"/>
      <c r="J17" s="79"/>
      <c r="K17" s="81"/>
      <c r="L17" s="81"/>
      <c r="M17" s="81"/>
      <c r="N17" s="81"/>
      <c r="O17" s="81"/>
      <c r="P17" s="81"/>
      <c r="Q17" s="81"/>
      <c r="R17" s="79"/>
      <c r="S17" s="79"/>
      <c r="T17" s="79"/>
      <c r="U17" s="79"/>
      <c r="V17" s="79"/>
      <c r="W17" s="79"/>
      <c r="X17" s="79"/>
      <c r="Y17" s="79"/>
      <c r="Z17" s="79"/>
      <c r="AA17" s="79"/>
      <c r="AB17" s="79"/>
    </row>
    <row r="18" spans="2:28" ht="15.75" customHeight="1" x14ac:dyDescent="0.35">
      <c r="B18" s="75">
        <v>12</v>
      </c>
      <c r="C18" s="19" t="s">
        <v>944</v>
      </c>
      <c r="D18" s="80" t="s">
        <v>937</v>
      </c>
      <c r="E18" s="79"/>
      <c r="F18" s="79"/>
      <c r="G18" s="79"/>
      <c r="H18" s="79"/>
      <c r="I18" s="79"/>
      <c r="J18" s="79"/>
      <c r="K18" s="79"/>
      <c r="L18" s="81"/>
      <c r="M18" s="81"/>
      <c r="N18" s="81"/>
      <c r="O18" s="81"/>
      <c r="P18" s="81"/>
      <c r="Q18" s="79"/>
      <c r="R18" s="79"/>
      <c r="S18" s="79"/>
      <c r="T18" s="79"/>
      <c r="U18" s="79"/>
      <c r="V18" s="79"/>
      <c r="W18" s="79"/>
      <c r="X18" s="79"/>
      <c r="Y18" s="79"/>
      <c r="Z18" s="79"/>
      <c r="AA18" s="79"/>
      <c r="AB18" s="79"/>
    </row>
    <row r="19" spans="2:28" ht="15.75" customHeight="1" x14ac:dyDescent="0.35">
      <c r="B19" s="75">
        <v>13</v>
      </c>
      <c r="C19" s="19" t="s">
        <v>945</v>
      </c>
      <c r="D19" s="80" t="s">
        <v>937</v>
      </c>
      <c r="E19" s="79"/>
      <c r="F19" s="79"/>
      <c r="G19" s="79"/>
      <c r="H19" s="79"/>
      <c r="I19" s="79"/>
      <c r="J19" s="79"/>
      <c r="K19" s="79"/>
      <c r="L19" s="79"/>
      <c r="M19" s="81"/>
      <c r="N19" s="81"/>
      <c r="O19" s="81"/>
      <c r="P19" s="81"/>
      <c r="Q19" s="79"/>
      <c r="R19" s="79"/>
      <c r="S19" s="79"/>
      <c r="T19" s="79"/>
      <c r="U19" s="79"/>
      <c r="V19" s="79"/>
      <c r="W19" s="79"/>
      <c r="X19" s="79"/>
      <c r="Y19" s="79"/>
      <c r="Z19" s="79"/>
      <c r="AA19" s="79"/>
      <c r="AB19" s="79"/>
    </row>
    <row r="20" spans="2:28" ht="15.75" customHeight="1" x14ac:dyDescent="0.35">
      <c r="B20" s="75">
        <v>14</v>
      </c>
      <c r="C20" s="76" t="s">
        <v>946</v>
      </c>
      <c r="D20" s="77" t="s">
        <v>932</v>
      </c>
      <c r="E20" s="79"/>
      <c r="F20" s="79"/>
      <c r="G20" s="79"/>
      <c r="H20" s="79"/>
      <c r="I20" s="79"/>
      <c r="J20" s="79"/>
      <c r="K20" s="79"/>
      <c r="L20" s="79"/>
      <c r="M20" s="79"/>
      <c r="N20" s="79"/>
      <c r="O20" s="78"/>
      <c r="P20" s="78"/>
      <c r="Q20" s="78"/>
      <c r="R20" s="78"/>
      <c r="S20" s="79"/>
      <c r="T20" s="79"/>
      <c r="U20" s="79"/>
      <c r="V20" s="79"/>
      <c r="W20" s="79"/>
      <c r="X20" s="79"/>
      <c r="Y20" s="79"/>
      <c r="Z20" s="79"/>
      <c r="AA20" s="79"/>
      <c r="AB20" s="79"/>
    </row>
    <row r="21" spans="2:28" ht="15.75" customHeight="1" x14ac:dyDescent="0.35">
      <c r="B21" s="75">
        <v>15</v>
      </c>
      <c r="C21" s="76" t="s">
        <v>947</v>
      </c>
      <c r="D21" s="77" t="s">
        <v>932</v>
      </c>
      <c r="E21" s="79"/>
      <c r="F21" s="79"/>
      <c r="G21" s="79"/>
      <c r="H21" s="79"/>
      <c r="I21" s="79"/>
      <c r="J21" s="79"/>
      <c r="K21" s="79"/>
      <c r="L21" s="79"/>
      <c r="M21" s="79"/>
      <c r="N21" s="79"/>
      <c r="O21" s="79"/>
      <c r="P21" s="79"/>
      <c r="Q21" s="78"/>
      <c r="R21" s="78"/>
      <c r="S21" s="78"/>
      <c r="T21" s="78"/>
      <c r="U21" s="79"/>
      <c r="V21" s="79"/>
      <c r="W21" s="79"/>
      <c r="X21" s="79"/>
      <c r="Y21" s="79"/>
      <c r="Z21" s="79"/>
      <c r="AA21" s="79"/>
      <c r="AB21" s="79"/>
    </row>
    <row r="22" spans="2:28" ht="15.75" customHeight="1" x14ac:dyDescent="0.35">
      <c r="B22" s="75">
        <v>16</v>
      </c>
      <c r="C22" s="76" t="s">
        <v>948</v>
      </c>
      <c r="D22" s="77" t="s">
        <v>932</v>
      </c>
      <c r="E22" s="79"/>
      <c r="F22" s="79"/>
      <c r="G22" s="79"/>
      <c r="H22" s="79"/>
      <c r="I22" s="79"/>
      <c r="J22" s="79"/>
      <c r="K22" s="79"/>
      <c r="L22" s="79"/>
      <c r="M22" s="79"/>
      <c r="N22" s="79"/>
      <c r="O22" s="79"/>
      <c r="P22" s="78"/>
      <c r="Q22" s="78"/>
      <c r="R22" s="78"/>
      <c r="S22" s="78"/>
      <c r="T22" s="78"/>
      <c r="U22" s="79"/>
      <c r="V22" s="79"/>
      <c r="W22" s="79"/>
      <c r="X22" s="79"/>
      <c r="Y22" s="79"/>
      <c r="Z22" s="79"/>
      <c r="AA22" s="79"/>
      <c r="AB22" s="79"/>
    </row>
    <row r="23" spans="2:28" ht="15.75" customHeight="1" x14ac:dyDescent="0.35">
      <c r="B23" s="75">
        <v>17</v>
      </c>
      <c r="C23" s="19" t="s">
        <v>949</v>
      </c>
      <c r="D23" s="80" t="s">
        <v>937</v>
      </c>
      <c r="E23" s="79"/>
      <c r="F23" s="79"/>
      <c r="G23" s="79"/>
      <c r="H23" s="79"/>
      <c r="I23" s="79"/>
      <c r="J23" s="79"/>
      <c r="K23" s="79"/>
      <c r="L23" s="79"/>
      <c r="M23" s="79"/>
      <c r="N23" s="79"/>
      <c r="O23" s="79"/>
      <c r="P23" s="81"/>
      <c r="Q23" s="81"/>
      <c r="R23" s="81"/>
      <c r="S23" s="81"/>
      <c r="T23" s="81"/>
      <c r="U23" s="79"/>
      <c r="V23" s="79"/>
      <c r="W23" s="79"/>
      <c r="X23" s="79"/>
      <c r="Y23" s="79"/>
      <c r="Z23" s="79"/>
      <c r="AA23" s="79"/>
      <c r="AB23" s="79"/>
    </row>
    <row r="24" spans="2:28" ht="15.75" customHeight="1" x14ac:dyDescent="0.35">
      <c r="B24" s="75">
        <v>18</v>
      </c>
      <c r="C24" s="19" t="s">
        <v>950</v>
      </c>
      <c r="D24" s="80" t="s">
        <v>937</v>
      </c>
      <c r="E24" s="79"/>
      <c r="F24" s="79"/>
      <c r="G24" s="79"/>
      <c r="H24" s="79"/>
      <c r="I24" s="79"/>
      <c r="J24" s="79"/>
      <c r="K24" s="79"/>
      <c r="L24" s="79"/>
      <c r="M24" s="79"/>
      <c r="N24" s="79"/>
      <c r="O24" s="79"/>
      <c r="P24" s="79"/>
      <c r="Q24" s="79"/>
      <c r="R24" s="79"/>
      <c r="S24" s="81"/>
      <c r="T24" s="81"/>
      <c r="U24" s="81"/>
      <c r="V24" s="79"/>
      <c r="W24" s="79"/>
      <c r="X24" s="79"/>
      <c r="Y24" s="79"/>
      <c r="Z24" s="79"/>
      <c r="AA24" s="79"/>
      <c r="AB24" s="79"/>
    </row>
    <row r="25" spans="2:28" ht="15.75" customHeight="1" x14ac:dyDescent="0.35">
      <c r="B25" s="75">
        <v>19</v>
      </c>
      <c r="C25" s="19" t="s">
        <v>951</v>
      </c>
      <c r="D25" s="80" t="s">
        <v>937</v>
      </c>
      <c r="E25" s="79"/>
      <c r="F25" s="79"/>
      <c r="G25" s="79"/>
      <c r="H25" s="79"/>
      <c r="I25" s="79"/>
      <c r="J25" s="79"/>
      <c r="K25" s="79"/>
      <c r="L25" s="79"/>
      <c r="M25" s="79"/>
      <c r="N25" s="79"/>
      <c r="O25" s="79"/>
      <c r="P25" s="79"/>
      <c r="Q25" s="79"/>
      <c r="R25" s="79"/>
      <c r="S25" s="81"/>
      <c r="T25" s="81"/>
      <c r="U25" s="81"/>
      <c r="V25" s="81"/>
      <c r="W25" s="79"/>
      <c r="X25" s="79"/>
      <c r="Y25" s="79"/>
      <c r="Z25" s="79"/>
      <c r="AA25" s="79"/>
      <c r="AB25" s="79"/>
    </row>
    <row r="26" spans="2:28" ht="15.75" customHeight="1" x14ac:dyDescent="0.35">
      <c r="B26" s="75">
        <v>20</v>
      </c>
      <c r="C26" s="76" t="s">
        <v>952</v>
      </c>
      <c r="D26" s="77" t="s">
        <v>932</v>
      </c>
      <c r="E26" s="79"/>
      <c r="F26" s="79"/>
      <c r="G26" s="79"/>
      <c r="H26" s="79"/>
      <c r="I26" s="79"/>
      <c r="J26" s="79"/>
      <c r="K26" s="79"/>
      <c r="L26" s="79"/>
      <c r="M26" s="79"/>
      <c r="N26" s="79"/>
      <c r="O26" s="79"/>
      <c r="P26" s="79"/>
      <c r="Q26" s="79"/>
      <c r="R26" s="79"/>
      <c r="S26" s="79"/>
      <c r="T26" s="78"/>
      <c r="U26" s="78"/>
      <c r="V26" s="78"/>
      <c r="W26" s="79"/>
      <c r="X26" s="79"/>
      <c r="Y26" s="79"/>
      <c r="Z26" s="79"/>
      <c r="AA26" s="79"/>
      <c r="AB26" s="79"/>
    </row>
    <row r="27" spans="2:28" ht="15.75" customHeight="1" x14ac:dyDescent="0.35">
      <c r="B27" s="75">
        <v>21</v>
      </c>
      <c r="C27" s="19" t="s">
        <v>953</v>
      </c>
      <c r="D27" s="80" t="s">
        <v>937</v>
      </c>
      <c r="E27" s="79"/>
      <c r="F27" s="79"/>
      <c r="G27" s="79"/>
      <c r="H27" s="79"/>
      <c r="I27" s="79"/>
      <c r="J27" s="79"/>
      <c r="K27" s="79"/>
      <c r="L27" s="79"/>
      <c r="M27" s="79"/>
      <c r="N27" s="79"/>
      <c r="O27" s="79"/>
      <c r="P27" s="79"/>
      <c r="Q27" s="79"/>
      <c r="R27" s="79"/>
      <c r="S27" s="79"/>
      <c r="T27" s="81"/>
      <c r="U27" s="81"/>
      <c r="V27" s="81"/>
      <c r="W27" s="81"/>
      <c r="X27" s="79"/>
      <c r="Y27" s="79"/>
      <c r="Z27" s="79"/>
      <c r="AA27" s="79"/>
      <c r="AB27" s="79"/>
    </row>
    <row r="28" spans="2:28" ht="15.75" customHeight="1" x14ac:dyDescent="0.35">
      <c r="B28" s="75">
        <v>22</v>
      </c>
      <c r="C28" s="19" t="s">
        <v>954</v>
      </c>
      <c r="D28" s="80" t="s">
        <v>937</v>
      </c>
      <c r="E28" s="79"/>
      <c r="F28" s="79"/>
      <c r="G28" s="79"/>
      <c r="H28" s="79"/>
      <c r="I28" s="79"/>
      <c r="J28" s="79"/>
      <c r="K28" s="79"/>
      <c r="L28" s="79"/>
      <c r="M28" s="79"/>
      <c r="N28" s="79"/>
      <c r="O28" s="79"/>
      <c r="P28" s="79"/>
      <c r="Q28" s="79"/>
      <c r="R28" s="79"/>
      <c r="S28" s="79"/>
      <c r="T28" s="81"/>
      <c r="U28" s="81"/>
      <c r="V28" s="81"/>
      <c r="W28" s="81"/>
      <c r="X28" s="79"/>
      <c r="Y28" s="79"/>
      <c r="Z28" s="79"/>
      <c r="AA28" s="79"/>
      <c r="AB28" s="79"/>
    </row>
    <row r="29" spans="2:28" ht="15.75" customHeight="1" x14ac:dyDescent="0.35">
      <c r="B29" s="75">
        <v>23</v>
      </c>
      <c r="C29" s="19" t="s">
        <v>955</v>
      </c>
      <c r="D29" s="80" t="s">
        <v>937</v>
      </c>
      <c r="E29" s="79"/>
      <c r="F29" s="79"/>
      <c r="G29" s="79"/>
      <c r="H29" s="79"/>
      <c r="I29" s="79"/>
      <c r="J29" s="79"/>
      <c r="K29" s="79"/>
      <c r="L29" s="79"/>
      <c r="M29" s="79"/>
      <c r="N29" s="79"/>
      <c r="O29" s="79"/>
      <c r="P29" s="79"/>
      <c r="Q29" s="79"/>
      <c r="R29" s="79"/>
      <c r="S29" s="79"/>
      <c r="T29" s="79"/>
      <c r="U29" s="81"/>
      <c r="V29" s="81"/>
      <c r="W29" s="81"/>
      <c r="X29" s="79"/>
      <c r="Y29" s="79"/>
      <c r="Z29" s="79"/>
      <c r="AA29" s="79"/>
      <c r="AB29" s="79"/>
    </row>
    <row r="30" spans="2:28" ht="15.75" customHeight="1" x14ac:dyDescent="0.35">
      <c r="B30" s="75">
        <v>24</v>
      </c>
      <c r="C30" s="76" t="s">
        <v>956</v>
      </c>
      <c r="D30" s="77" t="s">
        <v>932</v>
      </c>
      <c r="E30" s="79"/>
      <c r="F30" s="79"/>
      <c r="G30" s="79"/>
      <c r="H30" s="79"/>
      <c r="I30" s="79"/>
      <c r="J30" s="79"/>
      <c r="K30" s="79"/>
      <c r="L30" s="79"/>
      <c r="M30" s="79"/>
      <c r="N30" s="79"/>
      <c r="O30" s="79"/>
      <c r="P30" s="79"/>
      <c r="Q30" s="79"/>
      <c r="R30" s="79"/>
      <c r="S30" s="79"/>
      <c r="T30" s="79"/>
      <c r="U30" s="79"/>
      <c r="V30" s="79"/>
      <c r="W30" s="78"/>
      <c r="X30" s="78"/>
      <c r="Y30" s="78"/>
      <c r="Z30" s="79"/>
      <c r="AA30" s="79"/>
      <c r="AB30" s="79"/>
    </row>
    <row r="31" spans="2:28" ht="15.75" customHeight="1" x14ac:dyDescent="0.35">
      <c r="B31" s="75">
        <v>25</v>
      </c>
      <c r="C31" s="76" t="s">
        <v>957</v>
      </c>
      <c r="D31" s="77" t="s">
        <v>932</v>
      </c>
      <c r="E31" s="79"/>
      <c r="F31" s="79"/>
      <c r="G31" s="79"/>
      <c r="H31" s="79"/>
      <c r="I31" s="79"/>
      <c r="J31" s="79"/>
      <c r="K31" s="79"/>
      <c r="L31" s="79"/>
      <c r="M31" s="79"/>
      <c r="N31" s="79"/>
      <c r="O31" s="79"/>
      <c r="P31" s="79"/>
      <c r="Q31" s="79"/>
      <c r="R31" s="79"/>
      <c r="S31" s="79"/>
      <c r="T31" s="79"/>
      <c r="U31" s="79"/>
      <c r="V31" s="79"/>
      <c r="W31" s="79"/>
      <c r="X31" s="79"/>
      <c r="Y31" s="78"/>
      <c r="Z31" s="78"/>
      <c r="AA31" s="79"/>
      <c r="AB31" s="79"/>
    </row>
    <row r="32" spans="2:28" ht="15.75" customHeight="1" x14ac:dyDescent="0.35">
      <c r="B32" s="75">
        <v>26</v>
      </c>
      <c r="C32" s="76" t="s">
        <v>958</v>
      </c>
      <c r="D32" s="77" t="s">
        <v>932</v>
      </c>
      <c r="E32" s="79"/>
      <c r="F32" s="79"/>
      <c r="G32" s="79"/>
      <c r="H32" s="79"/>
      <c r="I32" s="79"/>
      <c r="J32" s="79"/>
      <c r="K32" s="79"/>
      <c r="L32" s="79"/>
      <c r="M32" s="79"/>
      <c r="N32" s="79"/>
      <c r="O32" s="79"/>
      <c r="P32" s="79"/>
      <c r="Q32" s="79"/>
      <c r="R32" s="79"/>
      <c r="S32" s="79"/>
      <c r="T32" s="79"/>
      <c r="U32" s="79"/>
      <c r="V32" s="79"/>
      <c r="W32" s="79"/>
      <c r="X32" s="79"/>
      <c r="Y32" s="79"/>
      <c r="Z32" s="78"/>
      <c r="AA32" s="78"/>
      <c r="AB32" s="78"/>
    </row>
    <row r="34" spans="2:28" x14ac:dyDescent="0.35">
      <c r="B34" s="123" t="s">
        <v>959</v>
      </c>
      <c r="C34" s="123"/>
      <c r="D34" s="123"/>
      <c r="E34" s="82"/>
      <c r="F34" s="82"/>
      <c r="G34" s="82"/>
      <c r="H34" s="82"/>
      <c r="I34" s="82"/>
      <c r="J34" s="82"/>
      <c r="K34" s="82"/>
      <c r="L34" s="82"/>
      <c r="M34" s="82"/>
      <c r="N34" s="82"/>
      <c r="O34" s="82"/>
      <c r="P34" s="82"/>
      <c r="Q34" s="82"/>
      <c r="R34" s="82"/>
      <c r="S34" s="82"/>
      <c r="T34" s="82"/>
      <c r="U34" s="82"/>
      <c r="V34" s="82"/>
      <c r="W34" s="82"/>
      <c r="X34" s="82"/>
      <c r="Y34" s="82"/>
      <c r="Z34" s="82"/>
      <c r="AA34" s="82"/>
      <c r="AB34" s="82"/>
    </row>
    <row r="35" spans="2:28" ht="15.75" customHeight="1" x14ac:dyDescent="0.35">
      <c r="B35" s="124" t="s">
        <v>960</v>
      </c>
      <c r="C35" s="124"/>
      <c r="D35" s="124"/>
      <c r="E35" s="83" t="s">
        <v>961</v>
      </c>
      <c r="F35" s="79"/>
      <c r="G35" s="79"/>
      <c r="H35" s="79"/>
      <c r="I35" s="79"/>
      <c r="J35" s="79"/>
      <c r="K35" s="79"/>
      <c r="L35" s="79"/>
      <c r="M35" s="79"/>
      <c r="N35" s="79"/>
      <c r="O35" s="79"/>
      <c r="P35" s="79"/>
      <c r="Q35" s="79"/>
      <c r="R35" s="79"/>
      <c r="S35" s="79"/>
      <c r="T35" s="79"/>
      <c r="U35" s="79"/>
      <c r="V35" s="79"/>
      <c r="W35" s="79"/>
      <c r="X35" s="79"/>
      <c r="Y35" s="79"/>
      <c r="Z35" s="79"/>
      <c r="AA35" s="79"/>
      <c r="AB35" s="79"/>
    </row>
    <row r="36" spans="2:28" ht="15.75" customHeight="1" x14ac:dyDescent="0.35">
      <c r="B36" s="124" t="s">
        <v>962</v>
      </c>
      <c r="C36" s="124"/>
      <c r="D36" s="124"/>
      <c r="E36" s="79"/>
      <c r="F36" s="79"/>
      <c r="G36" s="79"/>
      <c r="H36" s="83" t="s">
        <v>961</v>
      </c>
      <c r="I36" s="79"/>
      <c r="J36" s="79"/>
      <c r="K36" s="79"/>
      <c r="L36" s="79"/>
      <c r="M36" s="79"/>
      <c r="N36" s="79"/>
      <c r="O36" s="79"/>
      <c r="P36" s="79"/>
      <c r="Q36" s="79"/>
      <c r="R36" s="79"/>
      <c r="S36" s="79"/>
      <c r="T36" s="79"/>
      <c r="U36" s="79"/>
      <c r="V36" s="79"/>
      <c r="W36" s="79"/>
      <c r="X36" s="79"/>
      <c r="Y36" s="79"/>
      <c r="Z36" s="79"/>
      <c r="AA36" s="79"/>
      <c r="AB36" s="79"/>
    </row>
    <row r="37" spans="2:28" ht="15.75" customHeight="1" x14ac:dyDescent="0.35">
      <c r="B37" s="124" t="s">
        <v>963</v>
      </c>
      <c r="C37" s="124"/>
      <c r="D37" s="124"/>
      <c r="E37" s="79"/>
      <c r="F37" s="79"/>
      <c r="G37" s="79"/>
      <c r="H37" s="79"/>
      <c r="I37" s="79"/>
      <c r="J37" s="79"/>
      <c r="K37" s="79"/>
      <c r="L37" s="79"/>
      <c r="M37" s="79"/>
      <c r="N37" s="79"/>
      <c r="O37" s="79"/>
      <c r="P37" s="79"/>
      <c r="Q37" s="79"/>
      <c r="R37" s="83" t="s">
        <v>961</v>
      </c>
      <c r="S37" s="79"/>
      <c r="T37" s="79"/>
      <c r="U37" s="79"/>
      <c r="V37" s="79"/>
      <c r="W37" s="79"/>
      <c r="X37" s="79"/>
      <c r="Y37" s="79"/>
      <c r="Z37" s="79"/>
      <c r="AA37" s="79"/>
      <c r="AB37" s="79"/>
    </row>
    <row r="38" spans="2:28" ht="15.75" customHeight="1" x14ac:dyDescent="0.35">
      <c r="B38" s="124" t="s">
        <v>964</v>
      </c>
      <c r="C38" s="124"/>
      <c r="D38" s="124"/>
      <c r="E38" s="79"/>
      <c r="F38" s="79"/>
      <c r="G38" s="79"/>
      <c r="H38" s="79"/>
      <c r="I38" s="79"/>
      <c r="J38" s="79"/>
      <c r="K38" s="79"/>
      <c r="L38" s="79"/>
      <c r="M38" s="79"/>
      <c r="N38" s="79"/>
      <c r="O38" s="79"/>
      <c r="P38" s="79"/>
      <c r="Q38" s="79"/>
      <c r="R38" s="79"/>
      <c r="S38" s="79"/>
      <c r="T38" s="83" t="s">
        <v>961</v>
      </c>
      <c r="U38" s="79"/>
      <c r="V38" s="79"/>
      <c r="W38" s="79"/>
      <c r="X38" s="79"/>
      <c r="Y38" s="79"/>
      <c r="Z38" s="79"/>
      <c r="AA38" s="79"/>
      <c r="AB38" s="79"/>
    </row>
    <row r="39" spans="2:28" ht="15.75" customHeight="1" x14ac:dyDescent="0.35">
      <c r="B39" s="124" t="s">
        <v>965</v>
      </c>
      <c r="C39" s="124"/>
      <c r="D39" s="124"/>
      <c r="E39" s="79"/>
      <c r="F39" s="79"/>
      <c r="G39" s="79"/>
      <c r="H39" s="79"/>
      <c r="I39" s="79"/>
      <c r="J39" s="79"/>
      <c r="K39" s="79"/>
      <c r="L39" s="79"/>
      <c r="M39" s="79"/>
      <c r="N39" s="79"/>
      <c r="O39" s="79"/>
      <c r="P39" s="79"/>
      <c r="Q39" s="79"/>
      <c r="R39" s="79"/>
      <c r="S39" s="79"/>
      <c r="T39" s="79"/>
      <c r="U39" s="79"/>
      <c r="V39" s="79"/>
      <c r="W39" s="83" t="s">
        <v>961</v>
      </c>
      <c r="X39" s="79"/>
      <c r="Y39" s="79"/>
      <c r="Z39" s="79"/>
      <c r="AA39" s="79"/>
      <c r="AB39" s="79"/>
    </row>
    <row r="40" spans="2:28" ht="15.75" customHeight="1" x14ac:dyDescent="0.35">
      <c r="B40" s="124" t="s">
        <v>966</v>
      </c>
      <c r="C40" s="124"/>
      <c r="D40" s="124"/>
      <c r="E40" s="79"/>
      <c r="F40" s="79"/>
      <c r="G40" s="79"/>
      <c r="H40" s="79"/>
      <c r="I40" s="79"/>
      <c r="J40" s="79"/>
      <c r="K40" s="79"/>
      <c r="L40" s="79"/>
      <c r="M40" s="79"/>
      <c r="N40" s="79"/>
      <c r="O40" s="79"/>
      <c r="P40" s="79"/>
      <c r="Q40" s="79"/>
      <c r="R40" s="79"/>
      <c r="S40" s="79"/>
      <c r="T40" s="79"/>
      <c r="U40" s="79"/>
      <c r="V40" s="79"/>
      <c r="W40" s="79"/>
      <c r="X40" s="79"/>
      <c r="Y40" s="83" t="s">
        <v>961</v>
      </c>
      <c r="Z40" s="79"/>
      <c r="AA40" s="79"/>
      <c r="AB40" s="79"/>
    </row>
    <row r="41" spans="2:28" ht="15.75" customHeight="1" x14ac:dyDescent="0.35">
      <c r="B41" s="124" t="s">
        <v>967</v>
      </c>
      <c r="C41" s="124"/>
      <c r="D41" s="124"/>
      <c r="E41" s="79"/>
      <c r="F41" s="79"/>
      <c r="G41" s="79"/>
      <c r="H41" s="79"/>
      <c r="I41" s="79"/>
      <c r="J41" s="79"/>
      <c r="K41" s="79"/>
      <c r="L41" s="79"/>
      <c r="M41" s="79"/>
      <c r="N41" s="79"/>
      <c r="O41" s="79"/>
      <c r="P41" s="79"/>
      <c r="Q41" s="79"/>
      <c r="R41" s="79"/>
      <c r="S41" s="79"/>
      <c r="T41" s="79"/>
      <c r="U41" s="79"/>
      <c r="V41" s="79"/>
      <c r="W41" s="79"/>
      <c r="X41" s="79"/>
      <c r="Y41" s="79"/>
      <c r="Z41" s="79"/>
      <c r="AA41" s="79"/>
      <c r="AB41" s="83" t="s">
        <v>961</v>
      </c>
    </row>
    <row r="43" spans="2:28" x14ac:dyDescent="0.35">
      <c r="B43" s="125" t="s">
        <v>968</v>
      </c>
      <c r="C43" s="125"/>
      <c r="D43" s="125"/>
      <c r="E43" s="84"/>
      <c r="F43" s="84"/>
      <c r="G43" s="84"/>
      <c r="H43" s="84"/>
      <c r="I43" s="84"/>
      <c r="J43" s="84"/>
      <c r="K43" s="84"/>
      <c r="L43" s="84"/>
      <c r="M43" s="84"/>
      <c r="N43" s="84"/>
      <c r="O43" s="84"/>
      <c r="P43" s="84"/>
      <c r="Q43" s="84"/>
      <c r="R43" s="84"/>
      <c r="S43" s="84"/>
      <c r="T43" s="84"/>
      <c r="U43" s="84"/>
      <c r="V43" s="84"/>
      <c r="W43" s="84"/>
      <c r="X43" s="84"/>
      <c r="Y43" s="84"/>
      <c r="Z43" s="84"/>
      <c r="AA43" s="84"/>
      <c r="AB43" s="84"/>
    </row>
    <row r="44" spans="2:28" ht="15.75" customHeight="1" x14ac:dyDescent="0.35">
      <c r="B44" s="126" t="s">
        <v>969</v>
      </c>
      <c r="C44" s="126"/>
      <c r="D44" s="126"/>
      <c r="E44" s="85" t="s">
        <v>970</v>
      </c>
      <c r="F44" s="79"/>
      <c r="G44" s="79"/>
      <c r="H44" s="79"/>
      <c r="I44" s="79"/>
      <c r="J44" s="79"/>
      <c r="K44" s="79"/>
      <c r="L44" s="79"/>
      <c r="M44" s="79"/>
      <c r="N44" s="79"/>
      <c r="O44" s="79"/>
      <c r="P44" s="79"/>
      <c r="Q44" s="79"/>
      <c r="R44" s="79"/>
      <c r="S44" s="79"/>
      <c r="T44" s="79"/>
      <c r="U44" s="79"/>
      <c r="V44" s="79"/>
      <c r="W44" s="79"/>
      <c r="X44" s="79"/>
      <c r="Y44" s="79"/>
      <c r="Z44" s="79"/>
      <c r="AA44" s="79"/>
      <c r="AB44" s="79"/>
    </row>
    <row r="45" spans="2:28" ht="15.75" customHeight="1" x14ac:dyDescent="0.35">
      <c r="B45" s="126" t="s">
        <v>971</v>
      </c>
      <c r="C45" s="126"/>
      <c r="D45" s="126"/>
      <c r="E45" s="79"/>
      <c r="F45" s="79"/>
      <c r="G45" s="79"/>
      <c r="H45" s="79"/>
      <c r="I45" s="79"/>
      <c r="J45" s="79"/>
      <c r="K45" s="85" t="s">
        <v>970</v>
      </c>
      <c r="L45" s="79"/>
      <c r="M45" s="79"/>
      <c r="N45" s="79"/>
      <c r="O45" s="79"/>
      <c r="P45" s="79"/>
      <c r="Q45" s="79"/>
      <c r="R45" s="79"/>
      <c r="S45" s="79"/>
      <c r="T45" s="79"/>
      <c r="U45" s="79"/>
      <c r="V45" s="79"/>
      <c r="W45" s="79"/>
      <c r="X45" s="79"/>
      <c r="Y45" s="79"/>
      <c r="Z45" s="79"/>
      <c r="AA45" s="79"/>
      <c r="AB45" s="79"/>
    </row>
    <row r="46" spans="2:28" ht="15.75" customHeight="1" x14ac:dyDescent="0.35">
      <c r="B46" s="126" t="s">
        <v>972</v>
      </c>
      <c r="C46" s="126"/>
      <c r="D46" s="126"/>
      <c r="E46" s="79"/>
      <c r="F46" s="79"/>
      <c r="G46" s="79"/>
      <c r="H46" s="79"/>
      <c r="I46" s="79"/>
      <c r="J46" s="79"/>
      <c r="K46" s="79"/>
      <c r="L46" s="79"/>
      <c r="M46" s="79"/>
      <c r="N46" s="79"/>
      <c r="O46" s="79"/>
      <c r="P46" s="79"/>
      <c r="Q46" s="85" t="s">
        <v>970</v>
      </c>
      <c r="R46" s="79"/>
      <c r="S46" s="79"/>
      <c r="T46" s="79"/>
      <c r="U46" s="79"/>
      <c r="V46" s="79"/>
      <c r="W46" s="79"/>
      <c r="X46" s="79"/>
      <c r="Y46" s="79"/>
      <c r="Z46" s="79"/>
      <c r="AA46" s="79"/>
      <c r="AB46" s="79"/>
    </row>
    <row r="47" spans="2:28" ht="15.75" customHeight="1" x14ac:dyDescent="0.35">
      <c r="B47" s="126" t="s">
        <v>973</v>
      </c>
      <c r="C47" s="126"/>
      <c r="D47" s="126"/>
      <c r="E47" s="79"/>
      <c r="F47" s="79"/>
      <c r="G47" s="79"/>
      <c r="H47" s="79"/>
      <c r="I47" s="79"/>
      <c r="J47" s="79"/>
      <c r="K47" s="79"/>
      <c r="L47" s="79"/>
      <c r="M47" s="79"/>
      <c r="N47" s="79"/>
      <c r="O47" s="79"/>
      <c r="P47" s="79"/>
      <c r="Q47" s="79"/>
      <c r="R47" s="79"/>
      <c r="S47" s="79"/>
      <c r="T47" s="79"/>
      <c r="U47" s="79"/>
      <c r="V47" s="85" t="s">
        <v>970</v>
      </c>
      <c r="W47" s="79"/>
      <c r="X47" s="79"/>
      <c r="Y47" s="79"/>
      <c r="Z47" s="79"/>
      <c r="AA47" s="79"/>
      <c r="AB47" s="79"/>
    </row>
    <row r="48" spans="2:28" ht="15.75" customHeight="1" x14ac:dyDescent="0.35">
      <c r="B48" s="126" t="s">
        <v>974</v>
      </c>
      <c r="C48" s="126"/>
      <c r="D48" s="126"/>
      <c r="E48" s="79"/>
      <c r="F48" s="79"/>
      <c r="G48" s="79"/>
      <c r="H48" s="79"/>
      <c r="I48" s="79"/>
      <c r="J48" s="79"/>
      <c r="K48" s="79"/>
      <c r="L48" s="79"/>
      <c r="M48" s="79"/>
      <c r="N48" s="79"/>
      <c r="O48" s="79"/>
      <c r="P48" s="79"/>
      <c r="Q48" s="79"/>
      <c r="R48" s="79"/>
      <c r="S48" s="79"/>
      <c r="T48" s="79"/>
      <c r="U48" s="79"/>
      <c r="V48" s="79"/>
      <c r="W48" s="79"/>
      <c r="X48" s="79"/>
      <c r="Y48" s="79"/>
      <c r="Z48" s="79"/>
      <c r="AA48" s="79"/>
      <c r="AB48" s="85" t="s">
        <v>970</v>
      </c>
    </row>
    <row r="50" spans="2:28" ht="15" customHeight="1" x14ac:dyDescent="0.35">
      <c r="B50" s="127" t="s">
        <v>975</v>
      </c>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c r="AB50" s="127"/>
    </row>
    <row r="51" spans="2:28" x14ac:dyDescent="0.35">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c r="AA51" s="127"/>
      <c r="AB51" s="127"/>
    </row>
    <row r="52" spans="2:28" x14ac:dyDescent="0.35">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c r="AA52" s="127"/>
      <c r="AB52" s="127"/>
    </row>
    <row r="53" spans="2:28" x14ac:dyDescent="0.35">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c r="AA53" s="127"/>
      <c r="AB53" s="127"/>
    </row>
  </sheetData>
  <mergeCells count="18">
    <mergeCell ref="B47:D47"/>
    <mergeCell ref="B48:D48"/>
    <mergeCell ref="B50:AB53"/>
    <mergeCell ref="B41:D41"/>
    <mergeCell ref="B43:D43"/>
    <mergeCell ref="B44:D44"/>
    <mergeCell ref="B45:D45"/>
    <mergeCell ref="B46:D46"/>
    <mergeCell ref="B36:D36"/>
    <mergeCell ref="B37:D37"/>
    <mergeCell ref="B38:D38"/>
    <mergeCell ref="B39:D39"/>
    <mergeCell ref="B40:D40"/>
    <mergeCell ref="A1:AB1"/>
    <mergeCell ref="A2:AB2"/>
    <mergeCell ref="B4:AB4"/>
    <mergeCell ref="B34:D34"/>
    <mergeCell ref="B35:D3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8"/>
  <sheetViews>
    <sheetView showGridLines="0" zoomScaleNormal="100" workbookViewId="0">
      <selection sqref="A1:G1"/>
    </sheetView>
  </sheetViews>
  <sheetFormatPr baseColWidth="10" defaultColWidth="8.6328125" defaultRowHeight="14.5" x14ac:dyDescent="0.35"/>
  <cols>
    <col min="1" max="1" width="3" customWidth="1"/>
    <col min="2" max="2" width="8" customWidth="1"/>
    <col min="3" max="3" width="60" customWidth="1"/>
    <col min="4" max="4" width="12" customWidth="1"/>
    <col min="5" max="5" width="15" customWidth="1"/>
    <col min="6" max="6" width="62" customWidth="1"/>
    <col min="7" max="7" width="3" customWidth="1"/>
  </cols>
  <sheetData>
    <row r="1" spans="1:7" ht="25.5" customHeight="1" x14ac:dyDescent="0.35">
      <c r="A1" s="6" t="s">
        <v>26</v>
      </c>
      <c r="B1" s="6"/>
      <c r="C1" s="6"/>
      <c r="D1" s="6"/>
      <c r="E1" s="6"/>
      <c r="F1" s="6"/>
      <c r="G1" s="6"/>
    </row>
    <row r="2" spans="1:7" ht="19.5" customHeight="1" x14ac:dyDescent="0.35">
      <c r="A2" s="5" t="s">
        <v>976</v>
      </c>
      <c r="B2" s="5"/>
      <c r="C2" s="5"/>
      <c r="D2" s="5"/>
      <c r="E2" s="5"/>
      <c r="F2" s="5"/>
      <c r="G2" s="5"/>
    </row>
    <row r="4" spans="1:7" ht="15" customHeight="1" x14ac:dyDescent="0.35">
      <c r="B4" s="127" t="s">
        <v>977</v>
      </c>
      <c r="C4" s="127"/>
      <c r="D4" s="127"/>
      <c r="E4" s="127"/>
      <c r="F4" s="127"/>
    </row>
    <row r="5" spans="1:7" x14ac:dyDescent="0.35">
      <c r="B5" s="127"/>
      <c r="C5" s="127"/>
      <c r="D5" s="127"/>
      <c r="E5" s="127"/>
      <c r="F5" s="127"/>
    </row>
    <row r="7" spans="1:7" x14ac:dyDescent="0.35">
      <c r="B7" s="2" t="s">
        <v>978</v>
      </c>
      <c r="C7" s="2"/>
      <c r="D7" s="2"/>
      <c r="E7" s="2"/>
      <c r="F7" s="2"/>
    </row>
    <row r="8" spans="1:7" ht="25.5" customHeight="1" x14ac:dyDescent="0.35">
      <c r="B8" s="33" t="s">
        <v>979</v>
      </c>
      <c r="C8" s="33" t="s">
        <v>980</v>
      </c>
      <c r="D8" s="33" t="s">
        <v>981</v>
      </c>
      <c r="E8" s="33" t="s">
        <v>982</v>
      </c>
      <c r="F8" s="33" t="s">
        <v>983</v>
      </c>
    </row>
    <row r="9" spans="1:7" ht="30" customHeight="1" x14ac:dyDescent="0.35">
      <c r="B9" s="34" t="s">
        <v>984</v>
      </c>
      <c r="C9" s="86" t="s">
        <v>985</v>
      </c>
      <c r="D9" s="87" t="s">
        <v>986</v>
      </c>
      <c r="E9" s="88">
        <v>15400</v>
      </c>
      <c r="F9" s="89" t="s">
        <v>987</v>
      </c>
    </row>
    <row r="10" spans="1:7" ht="33" customHeight="1" x14ac:dyDescent="0.35">
      <c r="B10" s="34" t="s">
        <v>988</v>
      </c>
      <c r="C10" s="86" t="s">
        <v>989</v>
      </c>
      <c r="D10" s="87" t="s">
        <v>990</v>
      </c>
      <c r="E10" s="88">
        <v>13287.63</v>
      </c>
      <c r="F10" s="89" t="s">
        <v>991</v>
      </c>
    </row>
    <row r="11" spans="1:7" ht="33" customHeight="1" x14ac:dyDescent="0.35">
      <c r="B11" s="34" t="s">
        <v>992</v>
      </c>
      <c r="C11" s="86" t="s">
        <v>993</v>
      </c>
      <c r="D11" s="87" t="s">
        <v>994</v>
      </c>
      <c r="E11" s="88">
        <v>13295.04</v>
      </c>
      <c r="F11" s="89" t="s">
        <v>995</v>
      </c>
    </row>
    <row r="12" spans="1:7" ht="33" customHeight="1" x14ac:dyDescent="0.35">
      <c r="B12" s="34" t="s">
        <v>996</v>
      </c>
      <c r="C12" s="86" t="s">
        <v>997</v>
      </c>
      <c r="D12" s="87" t="s">
        <v>994</v>
      </c>
      <c r="E12" s="88">
        <v>20302.490000000002</v>
      </c>
      <c r="F12" s="89" t="s">
        <v>998</v>
      </c>
    </row>
    <row r="13" spans="1:7" ht="30" customHeight="1" x14ac:dyDescent="0.35">
      <c r="B13" s="34" t="s">
        <v>999</v>
      </c>
      <c r="C13" s="86" t="s">
        <v>1000</v>
      </c>
      <c r="D13" s="90" t="s">
        <v>1001</v>
      </c>
      <c r="E13" s="88">
        <v>6948.02</v>
      </c>
      <c r="F13" s="89" t="s">
        <v>1002</v>
      </c>
    </row>
    <row r="14" spans="1:7" ht="33" customHeight="1" x14ac:dyDescent="0.35">
      <c r="B14" s="34" t="s">
        <v>1003</v>
      </c>
      <c r="C14" s="86" t="s">
        <v>1004</v>
      </c>
      <c r="D14" s="87" t="s">
        <v>994</v>
      </c>
      <c r="E14" s="88">
        <v>2136.42</v>
      </c>
      <c r="F14" s="89" t="s">
        <v>1005</v>
      </c>
    </row>
    <row r="15" spans="1:7" ht="30" customHeight="1" x14ac:dyDescent="0.35">
      <c r="B15" s="34" t="s">
        <v>1006</v>
      </c>
      <c r="C15" s="86" t="s">
        <v>1007</v>
      </c>
      <c r="D15" s="90" t="s">
        <v>1001</v>
      </c>
      <c r="E15" s="88">
        <v>9500</v>
      </c>
      <c r="F15" s="89" t="s">
        <v>1008</v>
      </c>
    </row>
    <row r="16" spans="1:7" x14ac:dyDescent="0.35">
      <c r="B16" s="24" t="s">
        <v>1009</v>
      </c>
      <c r="C16" s="69" t="s">
        <v>1010</v>
      </c>
      <c r="D16" s="24" t="s">
        <v>990</v>
      </c>
      <c r="E16" s="91">
        <f>SUM(E9:E15)</f>
        <v>80869.600000000006</v>
      </c>
      <c r="F16" s="70"/>
    </row>
    <row r="18" spans="2:6" x14ac:dyDescent="0.35">
      <c r="B18" s="2" t="s">
        <v>1011</v>
      </c>
      <c r="C18" s="2"/>
      <c r="D18" s="2"/>
      <c r="E18" s="2"/>
      <c r="F18" s="2"/>
    </row>
    <row r="19" spans="2:6" ht="25.5" customHeight="1" x14ac:dyDescent="0.35">
      <c r="B19" s="33" t="s">
        <v>979</v>
      </c>
      <c r="C19" s="33" t="s">
        <v>980</v>
      </c>
      <c r="D19" s="33" t="s">
        <v>1012</v>
      </c>
      <c r="E19" s="33" t="s">
        <v>1013</v>
      </c>
      <c r="F19" s="33" t="s">
        <v>983</v>
      </c>
    </row>
    <row r="20" spans="2:6" ht="31.5" customHeight="1" x14ac:dyDescent="0.35">
      <c r="B20" s="34" t="s">
        <v>1014</v>
      </c>
      <c r="C20" s="86" t="s">
        <v>1015</v>
      </c>
      <c r="D20" s="92">
        <v>11500</v>
      </c>
      <c r="E20" s="88">
        <v>8600</v>
      </c>
      <c r="F20" s="89" t="s">
        <v>1016</v>
      </c>
    </row>
    <row r="21" spans="2:6" ht="31.5" customHeight="1" x14ac:dyDescent="0.35">
      <c r="B21" s="34" t="s">
        <v>1017</v>
      </c>
      <c r="C21" s="86" t="s">
        <v>1018</v>
      </c>
      <c r="D21" s="92">
        <v>6800</v>
      </c>
      <c r="E21" s="88">
        <v>5400</v>
      </c>
      <c r="F21" s="89" t="s">
        <v>1019</v>
      </c>
    </row>
    <row r="22" spans="2:6" ht="31.5" customHeight="1" x14ac:dyDescent="0.35">
      <c r="B22" s="34" t="s">
        <v>1020</v>
      </c>
      <c r="C22" s="86" t="s">
        <v>1021</v>
      </c>
      <c r="D22" s="92">
        <v>0</v>
      </c>
      <c r="E22" s="88">
        <v>3200</v>
      </c>
      <c r="F22" s="89" t="s">
        <v>1022</v>
      </c>
    </row>
    <row r="23" spans="2:6" x14ac:dyDescent="0.35">
      <c r="B23" s="24" t="s">
        <v>1009</v>
      </c>
      <c r="C23" s="69" t="s">
        <v>895</v>
      </c>
      <c r="D23" s="45">
        <f>SUM(D20:D22)</f>
        <v>18300</v>
      </c>
      <c r="E23" s="45">
        <f>SUM(E20:E22)</f>
        <v>17200</v>
      </c>
      <c r="F23" s="70"/>
    </row>
    <row r="25" spans="2:6" ht="15" customHeight="1" x14ac:dyDescent="0.35">
      <c r="B25" s="128" t="s">
        <v>1023</v>
      </c>
      <c r="C25" s="128"/>
      <c r="D25" s="128"/>
      <c r="E25" s="128"/>
      <c r="F25" s="128"/>
    </row>
    <row r="26" spans="2:6" x14ac:dyDescent="0.35">
      <c r="B26" s="128"/>
      <c r="C26" s="128"/>
      <c r="D26" s="128"/>
      <c r="E26" s="128"/>
      <c r="F26" s="128"/>
    </row>
    <row r="27" spans="2:6" x14ac:dyDescent="0.35">
      <c r="B27" s="128"/>
      <c r="C27" s="128"/>
      <c r="D27" s="128"/>
      <c r="E27" s="128"/>
      <c r="F27" s="128"/>
    </row>
    <row r="28" spans="2:6" x14ac:dyDescent="0.35">
      <c r="B28" s="128"/>
      <c r="C28" s="128"/>
      <c r="D28" s="128"/>
      <c r="E28" s="128"/>
      <c r="F28" s="128"/>
    </row>
  </sheetData>
  <mergeCells count="6">
    <mergeCell ref="B25:F28"/>
    <mergeCell ref="A1:G1"/>
    <mergeCell ref="A2:G2"/>
    <mergeCell ref="B4:F5"/>
    <mergeCell ref="B7:F7"/>
    <mergeCell ref="B18:F1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4"/>
  <sheetViews>
    <sheetView showGridLines="0" zoomScaleNormal="100" workbookViewId="0"/>
  </sheetViews>
  <sheetFormatPr baseColWidth="10" defaultColWidth="8.6328125" defaultRowHeight="14.5" x14ac:dyDescent="0.35"/>
  <cols>
    <col min="1" max="1" width="3" customWidth="1"/>
    <col min="2" max="2" width="46" customWidth="1"/>
    <col min="3" max="5" width="20" customWidth="1"/>
    <col min="6" max="6" width="3" customWidth="1"/>
  </cols>
  <sheetData>
    <row r="1" spans="1:6" ht="25.5" customHeight="1" x14ac:dyDescent="0.35">
      <c r="A1" s="6" t="s">
        <v>26</v>
      </c>
      <c r="B1" s="6"/>
      <c r="C1" s="6"/>
      <c r="D1" s="6"/>
      <c r="E1" s="6"/>
      <c r="F1" s="6"/>
    </row>
    <row r="2" spans="1:6" ht="19.5" customHeight="1" x14ac:dyDescent="0.35">
      <c r="A2" s="5" t="s">
        <v>1024</v>
      </c>
      <c r="B2" s="5"/>
      <c r="C2" s="5"/>
      <c r="D2" s="5"/>
      <c r="E2" s="5"/>
      <c r="F2" s="5"/>
    </row>
    <row r="4" spans="1:6" ht="22.4" customHeight="1" x14ac:dyDescent="0.35">
      <c r="B4" s="3" t="s">
        <v>1025</v>
      </c>
      <c r="C4" s="3"/>
      <c r="D4" s="3"/>
      <c r="E4" s="3"/>
    </row>
    <row r="6" spans="1:6" ht="24" customHeight="1" x14ac:dyDescent="0.35">
      <c r="B6" s="93" t="s">
        <v>847</v>
      </c>
      <c r="C6" s="93" t="s">
        <v>1026</v>
      </c>
      <c r="D6" s="93" t="s">
        <v>1027</v>
      </c>
      <c r="E6" s="93" t="s">
        <v>1028</v>
      </c>
    </row>
    <row r="7" spans="1:6" ht="21" customHeight="1" x14ac:dyDescent="0.35">
      <c r="B7" s="55" t="s">
        <v>1029</v>
      </c>
      <c r="C7" s="94">
        <f>'6. RESUMEN DE COSTOS'!D13</f>
        <v>1792618.86</v>
      </c>
      <c r="D7" s="95">
        <f>C7-'9. INGENIERIA DE VALOR'!E16</f>
        <v>1711749.26</v>
      </c>
      <c r="E7" s="96">
        <f t="shared" ref="E7:E13" si="0">D7-C7</f>
        <v>-80869.600000000093</v>
      </c>
    </row>
    <row r="8" spans="1:6" ht="21" customHeight="1" x14ac:dyDescent="0.35">
      <c r="B8" s="55" t="s">
        <v>1030</v>
      </c>
      <c r="C8" s="94">
        <f>ROUND(C7*'6. RESUMEN DE COSTOS'!C14,2)</f>
        <v>143409.51</v>
      </c>
      <c r="D8" s="95">
        <f>ROUND(D7*'6. RESUMEN DE COSTOS'!C14,2)</f>
        <v>136939.94</v>
      </c>
      <c r="E8" s="96">
        <f t="shared" si="0"/>
        <v>-6469.570000000007</v>
      </c>
    </row>
    <row r="9" spans="1:6" ht="21" customHeight="1" x14ac:dyDescent="0.35">
      <c r="B9" s="55" t="s">
        <v>1031</v>
      </c>
      <c r="C9" s="94">
        <f>ROUND((C7+C8)*'6. RESUMEN DE COSTOS'!C16,2)</f>
        <v>193602.84</v>
      </c>
      <c r="D9" s="95">
        <f>ROUND((D7+D8)*'6. RESUMEN DE COSTOS'!C16,2)</f>
        <v>184868.92</v>
      </c>
      <c r="E9" s="96">
        <f t="shared" si="0"/>
        <v>-8733.9199999999837</v>
      </c>
    </row>
    <row r="10" spans="1:6" ht="21" customHeight="1" x14ac:dyDescent="0.35">
      <c r="B10" s="55" t="s">
        <v>1032</v>
      </c>
      <c r="C10" s="94">
        <f>ROUND((C7+C8+C9)*'6. RESUMEN DE COSTOS'!C18,2)</f>
        <v>63888.94</v>
      </c>
      <c r="D10" s="95">
        <f>ROUND((D7+D8+D9)*'6. RESUMEN DE COSTOS'!C18,2)</f>
        <v>61006.74</v>
      </c>
      <c r="E10" s="96">
        <f t="shared" si="0"/>
        <v>-2882.2000000000044</v>
      </c>
    </row>
    <row r="11" spans="1:6" ht="21" customHeight="1" x14ac:dyDescent="0.35">
      <c r="B11" s="51" t="s">
        <v>1033</v>
      </c>
      <c r="C11" s="97">
        <f>C7+C8+C9+C10</f>
        <v>2193520.15</v>
      </c>
      <c r="D11" s="98">
        <f>D7+D8+D9+D10</f>
        <v>2094564.8599999999</v>
      </c>
      <c r="E11" s="99">
        <f t="shared" si="0"/>
        <v>-98955.290000000037</v>
      </c>
    </row>
    <row r="12" spans="1:6" ht="21" customHeight="1" x14ac:dyDescent="0.35">
      <c r="B12" s="55" t="s">
        <v>1034</v>
      </c>
      <c r="C12" s="94">
        <f>ROUND(C11*'6. RESUMEN DE COSTOS'!C20,2)</f>
        <v>175481.61</v>
      </c>
      <c r="D12" s="95">
        <f>ROUND(D11*'6. RESUMEN DE COSTOS'!C20,2)</f>
        <v>167565.19</v>
      </c>
      <c r="E12" s="96">
        <f t="shared" si="0"/>
        <v>-7916.4199999999837</v>
      </c>
    </row>
    <row r="13" spans="1:6" ht="25.5" customHeight="1" x14ac:dyDescent="0.35">
      <c r="B13" s="65" t="s">
        <v>1035</v>
      </c>
      <c r="C13" s="100">
        <f>C11+C12</f>
        <v>2369001.7599999998</v>
      </c>
      <c r="D13" s="100">
        <f>D11+D12</f>
        <v>2262130.0499999998</v>
      </c>
      <c r="E13" s="100">
        <f t="shared" si="0"/>
        <v>-106871.70999999996</v>
      </c>
    </row>
    <row r="14" spans="1:6" ht="21" customHeight="1" x14ac:dyDescent="0.35">
      <c r="B14" s="55" t="s">
        <v>1036</v>
      </c>
      <c r="C14" s="101">
        <v>0</v>
      </c>
      <c r="D14" s="102">
        <f>-E13/C13</f>
        <v>4.5112549853065523E-2</v>
      </c>
      <c r="E14" s="103">
        <f>D14</f>
        <v>4.5112549853065523E-2</v>
      </c>
    </row>
    <row r="15" spans="1:6" ht="21" customHeight="1" x14ac:dyDescent="0.35">
      <c r="B15" s="55" t="s">
        <v>1037</v>
      </c>
      <c r="C15" s="104">
        <v>24</v>
      </c>
      <c r="D15" s="105">
        <v>20</v>
      </c>
      <c r="E15" s="106">
        <v>-4</v>
      </c>
    </row>
    <row r="16" spans="1:6" ht="21" customHeight="1" x14ac:dyDescent="0.35">
      <c r="B16" s="55" t="s">
        <v>1038</v>
      </c>
      <c r="C16" s="94">
        <v>0</v>
      </c>
      <c r="D16" s="95">
        <f>'9. INGENIERIA DE VALOR'!E23</f>
        <v>17200</v>
      </c>
      <c r="E16" s="96">
        <f>D16</f>
        <v>17200</v>
      </c>
    </row>
    <row r="18" spans="2:5" x14ac:dyDescent="0.35">
      <c r="B18" s="2" t="s">
        <v>1039</v>
      </c>
      <c r="C18" s="2"/>
      <c r="D18" s="2"/>
      <c r="E18" s="2"/>
    </row>
    <row r="19" spans="2:5" ht="25.5" customHeight="1" x14ac:dyDescent="0.35">
      <c r="B19" s="4" t="s">
        <v>1040</v>
      </c>
      <c r="C19" s="4"/>
      <c r="D19" s="4"/>
      <c r="E19" s="4"/>
    </row>
    <row r="20" spans="2:5" ht="25.5" customHeight="1" x14ac:dyDescent="0.35">
      <c r="B20" s="4" t="s">
        <v>1041</v>
      </c>
      <c r="C20" s="4"/>
      <c r="D20" s="4"/>
      <c r="E20" s="4"/>
    </row>
    <row r="21" spans="2:5" ht="25.5" customHeight="1" x14ac:dyDescent="0.35">
      <c r="B21" s="4" t="s">
        <v>1042</v>
      </c>
      <c r="C21" s="4"/>
      <c r="D21" s="4"/>
      <c r="E21" s="4"/>
    </row>
    <row r="22" spans="2:5" ht="25.5" customHeight="1" x14ac:dyDescent="0.35">
      <c r="B22" s="4" t="s">
        <v>1043</v>
      </c>
      <c r="C22" s="4"/>
      <c r="D22" s="4"/>
      <c r="E22" s="4"/>
    </row>
    <row r="23" spans="2:5" ht="25.5" customHeight="1" x14ac:dyDescent="0.35">
      <c r="B23" s="4" t="s">
        <v>1044</v>
      </c>
      <c r="C23" s="4"/>
      <c r="D23" s="4"/>
      <c r="E23" s="4"/>
    </row>
    <row r="24" spans="2:5" ht="25.5" customHeight="1" x14ac:dyDescent="0.35">
      <c r="B24" s="4" t="s">
        <v>1045</v>
      </c>
      <c r="C24" s="4"/>
      <c r="D24" s="4"/>
      <c r="E24" s="4"/>
    </row>
  </sheetData>
  <mergeCells count="10">
    <mergeCell ref="B20:E20"/>
    <mergeCell ref="B21:E21"/>
    <mergeCell ref="B22:E22"/>
    <mergeCell ref="B23:E23"/>
    <mergeCell ref="B24:E24"/>
    <mergeCell ref="A1:F1"/>
    <mergeCell ref="A2:F2"/>
    <mergeCell ref="B4:E4"/>
    <mergeCell ref="B18:E18"/>
    <mergeCell ref="B19:E19"/>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3"/>
  <sheetViews>
    <sheetView showGridLines="0" zoomScaleNormal="100" workbookViewId="0"/>
  </sheetViews>
  <sheetFormatPr baseColWidth="10" defaultColWidth="8.6328125" defaultRowHeight="14.5" x14ac:dyDescent="0.35"/>
  <cols>
    <col min="1" max="1" width="3" customWidth="1"/>
    <col min="2" max="2" width="6" customWidth="1"/>
    <col min="3" max="3" width="42" customWidth="1"/>
    <col min="4" max="6" width="22" customWidth="1"/>
    <col min="7" max="7" width="3" customWidth="1"/>
  </cols>
  <sheetData>
    <row r="1" spans="1:7" ht="25.5" customHeight="1" x14ac:dyDescent="0.35">
      <c r="A1" s="6" t="s">
        <v>26</v>
      </c>
      <c r="B1" s="6"/>
      <c r="C1" s="6"/>
      <c r="D1" s="6"/>
      <c r="E1" s="6"/>
      <c r="F1" s="6"/>
      <c r="G1" s="6"/>
    </row>
    <row r="2" spans="1:7" ht="19.5" customHeight="1" x14ac:dyDescent="0.35">
      <c r="A2" s="5" t="s">
        <v>1046</v>
      </c>
      <c r="B2" s="5"/>
      <c r="C2" s="5"/>
      <c r="D2" s="5"/>
      <c r="E2" s="5"/>
      <c r="F2" s="5"/>
      <c r="G2" s="5"/>
    </row>
    <row r="4" spans="1:7" ht="15" customHeight="1" x14ac:dyDescent="0.35">
      <c r="B4" s="3" t="s">
        <v>1047</v>
      </c>
      <c r="C4" s="3"/>
      <c r="D4" s="3"/>
      <c r="E4" s="3"/>
      <c r="F4" s="3"/>
    </row>
    <row r="6" spans="1:7" ht="30" customHeight="1" x14ac:dyDescent="0.35">
      <c r="B6" s="33" t="s">
        <v>1048</v>
      </c>
      <c r="C6" s="33" t="s">
        <v>1049</v>
      </c>
      <c r="D6" s="33" t="s">
        <v>1050</v>
      </c>
      <c r="E6" s="33" t="s">
        <v>1051</v>
      </c>
      <c r="F6" s="33" t="s">
        <v>1052</v>
      </c>
    </row>
    <row r="7" spans="1:7" x14ac:dyDescent="0.35">
      <c r="B7" s="107">
        <v>1</v>
      </c>
      <c r="C7" s="19" t="s">
        <v>1053</v>
      </c>
      <c r="D7" s="49">
        <f>SUMPRODUCT('5. DESGLOSE PARTIDAS'!$D$7:$D$28,'5. DESGLOSE PARTIDAS'!$F$7:$F$28)</f>
        <v>266800</v>
      </c>
      <c r="E7" s="49">
        <f>SUMPRODUCT('5. DESGLOSE PARTIDAS'!$D$7:$D$28,'5. DESGLOSE PARTIDAS'!$E$7:$E$28)</f>
        <v>0</v>
      </c>
      <c r="F7" s="38">
        <f t="shared" ref="F7:F14" si="0">D7+E7</f>
        <v>266800</v>
      </c>
    </row>
    <row r="8" spans="1:7" x14ac:dyDescent="0.35">
      <c r="B8" s="107">
        <v>2</v>
      </c>
      <c r="C8" s="19" t="s">
        <v>1054</v>
      </c>
      <c r="D8" s="49">
        <f>SUMPRODUCT('5. DESGLOSE PARTIDAS'!$D$32:$D$62,'5. DESGLOSE PARTIDAS'!$F$32:$F$62)</f>
        <v>198570.56602</v>
      </c>
      <c r="E8" s="49">
        <f>SUMPRODUCT('5. DESGLOSE PARTIDAS'!$D$32:$D$62,'5. DESGLOSE PARTIDAS'!$E$32:$E$62)</f>
        <v>408216.21049999999</v>
      </c>
      <c r="F8" s="38">
        <f t="shared" si="0"/>
        <v>606786.77651999996</v>
      </c>
    </row>
    <row r="9" spans="1:7" x14ac:dyDescent="0.35">
      <c r="B9" s="107">
        <v>3</v>
      </c>
      <c r="C9" s="19" t="s">
        <v>1055</v>
      </c>
      <c r="D9" s="49">
        <f>SUMPRODUCT('5. DESGLOSE PARTIDAS'!$D$66:$D$176,'5. DESGLOSE PARTIDAS'!$F$66:$F$176)</f>
        <v>121764.52462</v>
      </c>
      <c r="E9" s="49">
        <f>SUMPRODUCT('5. DESGLOSE PARTIDAS'!$D$66:$D$176,'5. DESGLOSE PARTIDAS'!$E$66:$E$176)</f>
        <v>243602.46674000009</v>
      </c>
      <c r="F9" s="38">
        <f t="shared" si="0"/>
        <v>365366.9913600001</v>
      </c>
    </row>
    <row r="10" spans="1:7" x14ac:dyDescent="0.35">
      <c r="B10" s="107">
        <v>4</v>
      </c>
      <c r="C10" s="19" t="s">
        <v>1056</v>
      </c>
      <c r="D10" s="49">
        <f>SUMPRODUCT('5. DESGLOSE PARTIDAS'!$D$246:$D$280,'5. DESGLOSE PARTIDAS'!$F$246:$F$280)</f>
        <v>26629.0370468</v>
      </c>
      <c r="E10" s="49">
        <f>SUMPRODUCT('5. DESGLOSE PARTIDAS'!$D$246:$D$280,'5. DESGLOSE PARTIDAS'!$E$246:$E$280)</f>
        <v>35623.957934400001</v>
      </c>
      <c r="F10" s="38">
        <f t="shared" si="0"/>
        <v>62252.994981199998</v>
      </c>
    </row>
    <row r="11" spans="1:7" x14ac:dyDescent="0.35">
      <c r="B11" s="107">
        <v>5</v>
      </c>
      <c r="C11" s="19" t="s">
        <v>1057</v>
      </c>
      <c r="D11" s="49">
        <f>SUMPRODUCT('5. DESGLOSE PARTIDAS'!$D$284:$D$334,'5. DESGLOSE PARTIDAS'!$F$284:$F$334)</f>
        <v>74581.987579999986</v>
      </c>
      <c r="E11" s="49">
        <f>SUMPRODUCT('5. DESGLOSE PARTIDAS'!$D$284:$D$334,'5. DESGLOSE PARTIDAS'!$E$284:$E$334)</f>
        <v>76146.258359999993</v>
      </c>
      <c r="F11" s="38">
        <f t="shared" si="0"/>
        <v>150728.24593999999</v>
      </c>
    </row>
    <row r="12" spans="1:7" x14ac:dyDescent="0.35">
      <c r="B12" s="107">
        <v>6</v>
      </c>
      <c r="C12" s="19" t="s">
        <v>1058</v>
      </c>
      <c r="D12" s="49">
        <f>SUMPRODUCT('5. DESGLOSE PARTIDAS'!$D$180:$D$242,'5. DESGLOSE PARTIDAS'!$F$180:$F$242)</f>
        <v>112676.91450000001</v>
      </c>
      <c r="E12" s="49">
        <f>SUMPRODUCT('5. DESGLOSE PARTIDAS'!$D$180:$D$242,'5. DESGLOSE PARTIDAS'!$E$180:$E$242)</f>
        <v>162701.87250000003</v>
      </c>
      <c r="F12" s="38">
        <f t="shared" si="0"/>
        <v>275378.78700000001</v>
      </c>
    </row>
    <row r="13" spans="1:7" x14ac:dyDescent="0.35">
      <c r="B13" s="107">
        <v>7</v>
      </c>
      <c r="C13" s="19" t="s">
        <v>1059</v>
      </c>
      <c r="D13" s="49">
        <f>SUMPRODUCT('5. DESGLOSE PARTIDAS'!$D$338:$D$357,'5. DESGLOSE PARTIDAS'!$F$338:$F$357)</f>
        <v>17064.5095</v>
      </c>
      <c r="E13" s="49">
        <f>SUMPRODUCT('5. DESGLOSE PARTIDAS'!$D$338:$D$357,'5. DESGLOSE PARTIDAS'!$E$338:$E$357)</f>
        <v>17923.478999999999</v>
      </c>
      <c r="F13" s="38">
        <f t="shared" si="0"/>
        <v>34987.988499999999</v>
      </c>
    </row>
    <row r="14" spans="1:7" x14ac:dyDescent="0.35">
      <c r="B14" s="107">
        <v>8</v>
      </c>
      <c r="C14" s="19" t="s">
        <v>1060</v>
      </c>
      <c r="D14" s="49">
        <f>SUMPRODUCT('5. DESGLOSE PARTIDAS'!$D$361:$D$368,'5. DESGLOSE PARTIDAS'!$F$361:$F$368)</f>
        <v>11026.942972500001</v>
      </c>
      <c r="E14" s="49">
        <f>SUMPRODUCT('5. DESGLOSE PARTIDAS'!$D$361:$D$368,'5. DESGLOSE PARTIDAS'!$E$361:$E$368)</f>
        <v>19290.147245</v>
      </c>
      <c r="F14" s="38">
        <f t="shared" si="0"/>
        <v>30317.090217500001</v>
      </c>
    </row>
    <row r="15" spans="1:7" ht="30" x14ac:dyDescent="0.35">
      <c r="B15" s="107">
        <v>9</v>
      </c>
      <c r="C15" s="19" t="s">
        <v>1061</v>
      </c>
      <c r="D15" s="108">
        <v>0</v>
      </c>
      <c r="E15" s="108">
        <v>0</v>
      </c>
      <c r="F15" s="109" t="s">
        <v>1062</v>
      </c>
    </row>
    <row r="16" spans="1:7" ht="30" x14ac:dyDescent="0.35">
      <c r="B16" s="107">
        <v>10</v>
      </c>
      <c r="C16" s="19" t="s">
        <v>1063</v>
      </c>
      <c r="D16" s="108">
        <v>0</v>
      </c>
      <c r="E16" s="108">
        <v>0</v>
      </c>
      <c r="F16" s="109" t="s">
        <v>1064</v>
      </c>
    </row>
    <row r="17" spans="2:6" x14ac:dyDescent="0.35">
      <c r="B17" s="107">
        <v>11</v>
      </c>
      <c r="C17" s="19" t="s">
        <v>1065</v>
      </c>
      <c r="D17" s="49">
        <f>'6. RESUMEN DE COSTOS'!D14+'6. RESUMEN DE COSTOS'!D16+'6. RESUMEN DE COSTOS'!D18</f>
        <v>400901.29</v>
      </c>
      <c r="E17" s="37">
        <v>0</v>
      </c>
      <c r="F17" s="38">
        <f>D17+E17</f>
        <v>400901.29</v>
      </c>
    </row>
    <row r="18" spans="2:6" x14ac:dyDescent="0.35">
      <c r="B18" s="110">
        <v>12</v>
      </c>
      <c r="C18" s="15" t="s">
        <v>1066</v>
      </c>
      <c r="D18" s="111">
        <f>SUM(D7:D17)</f>
        <v>1230015.7722393002</v>
      </c>
      <c r="E18" s="111">
        <f>SUM(E7:E17)</f>
        <v>963504.39227940014</v>
      </c>
      <c r="F18" s="111">
        <f>D18+E18</f>
        <v>2193520.1645187004</v>
      </c>
    </row>
    <row r="19" spans="2:6" x14ac:dyDescent="0.35">
      <c r="B19" s="112">
        <v>13</v>
      </c>
      <c r="C19" s="113" t="s">
        <v>1034</v>
      </c>
      <c r="D19" s="55"/>
      <c r="E19" s="55"/>
      <c r="F19" s="114">
        <f>ROUND(F18*'6. RESUMEN DE COSTOS'!C20,2)</f>
        <v>175481.61</v>
      </c>
    </row>
    <row r="20" spans="2:6" ht="16.5" x14ac:dyDescent="0.35">
      <c r="B20" s="46">
        <v>14</v>
      </c>
      <c r="C20" s="65" t="s">
        <v>1067</v>
      </c>
      <c r="D20" s="84"/>
      <c r="E20" s="84"/>
      <c r="F20" s="115">
        <f>F18+F19</f>
        <v>2369001.7745187003</v>
      </c>
    </row>
    <row r="22" spans="2:6" ht="15" customHeight="1" x14ac:dyDescent="0.35">
      <c r="B22" s="127" t="s">
        <v>1068</v>
      </c>
      <c r="C22" s="127"/>
      <c r="D22" s="127"/>
      <c r="E22" s="127"/>
      <c r="F22" s="127"/>
    </row>
    <row r="23" spans="2:6" x14ac:dyDescent="0.35">
      <c r="B23" s="127"/>
      <c r="C23" s="127"/>
      <c r="D23" s="127"/>
      <c r="E23" s="127"/>
      <c r="F23" s="127"/>
    </row>
  </sheetData>
  <mergeCells count="4">
    <mergeCell ref="A1:G1"/>
    <mergeCell ref="A2:G2"/>
    <mergeCell ref="B4:F4"/>
    <mergeCell ref="B22:F2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1. PORTADA</vt:lpstr>
      <vt:lpstr>2. RESUMEN EJECUTIVO</vt:lpstr>
      <vt:lpstr>3. ALCANCE DEL TRABAJO</vt:lpstr>
      <vt:lpstr>4. EXCLUSIONES Y SUPUESTOS</vt:lpstr>
      <vt:lpstr>5. DESGLOSE PARTIDAS</vt:lpstr>
      <vt:lpstr>6. RESUMEN DE COSTOS</vt:lpstr>
      <vt:lpstr>7. CONDICIONES COMERCIALES</vt:lpstr>
      <vt:lpstr>8. PROGRAMA GANTT</vt:lpstr>
      <vt:lpstr>9. INGENIERIA DE VALOR</vt:lpstr>
      <vt:lpstr>10. BASE VS OPTIMIZADO</vt:lpstr>
      <vt:lpstr>11. FORMATO BOQ CLIENTE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rodrigo nuñez</cp:lastModifiedBy>
  <cp:revision>0</cp:revision>
  <dcterms:created xsi:type="dcterms:W3CDTF">2026-09-10T23:36:53Z</dcterms:created>
  <dcterms:modified xsi:type="dcterms:W3CDTF">2026-09-10T23:52:33Z</dcterms:modified>
  <dc:language>en-US</dc:language>
</cp:coreProperties>
</file>